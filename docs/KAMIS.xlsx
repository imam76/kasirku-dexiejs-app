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60" windowWidth="15600" windowHeight="8055"/>
  </bookViews>
  <sheets>
    <sheet name="RESORT 01" sheetId="4" r:id="rId1"/>
    <sheet name="RESORT 02" sheetId="1" r:id="rId2"/>
    <sheet name="RESORT 03" sheetId="5" r:id="rId3"/>
    <sheet name="RESORT 04" sheetId="6" r:id="rId4"/>
    <sheet name="Sheet2" sheetId="2" r:id="rId5"/>
    <sheet name="Sheet3" sheetId="3" r:id="rId6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5" i="4" l="1"/>
  <c r="G175" i="4"/>
  <c r="N167" i="4"/>
  <c r="N169" i="4"/>
  <c r="N171" i="4"/>
  <c r="N173" i="4"/>
  <c r="N175" i="4"/>
  <c r="G167" i="4"/>
  <c r="G168" i="4"/>
  <c r="N168" i="4" s="1"/>
  <c r="G169" i="4"/>
  <c r="G170" i="4"/>
  <c r="N170" i="4" s="1"/>
  <c r="G171" i="4"/>
  <c r="G172" i="4"/>
  <c r="N172" i="4" s="1"/>
  <c r="G173" i="4"/>
  <c r="G174" i="4"/>
  <c r="N174" i="4" s="1"/>
  <c r="G166" i="4"/>
  <c r="N100" i="1"/>
  <c r="N101" i="1"/>
  <c r="N102" i="1"/>
  <c r="G100" i="1"/>
  <c r="G101" i="1"/>
  <c r="G102" i="1"/>
  <c r="G93" i="5"/>
  <c r="G94" i="5"/>
  <c r="G117" i="6"/>
  <c r="N117" i="6" s="1"/>
  <c r="G118" i="6"/>
  <c r="N118" i="6" s="1"/>
  <c r="G119" i="6"/>
  <c r="N119" i="6" s="1"/>
  <c r="G120" i="6"/>
  <c r="N120" i="6" s="1"/>
  <c r="G121" i="6"/>
  <c r="N121" i="6" s="1"/>
  <c r="G122" i="6"/>
  <c r="N122" i="6" s="1"/>
  <c r="F123" i="6" l="1"/>
  <c r="K123" i="6"/>
  <c r="F95" i="5"/>
  <c r="J95" i="5"/>
  <c r="G92" i="5"/>
  <c r="F165" i="4" l="1"/>
  <c r="I165" i="4"/>
  <c r="J165" i="4"/>
  <c r="M160" i="4"/>
  <c r="J140" i="4"/>
  <c r="F103" i="1" l="1"/>
  <c r="G99" i="1"/>
  <c r="J103" i="1" l="1"/>
  <c r="M33" i="1"/>
  <c r="M59" i="1" l="1"/>
  <c r="G113" i="6" l="1"/>
  <c r="G114" i="6"/>
  <c r="G115" i="6"/>
  <c r="G116" i="6"/>
  <c r="G89" i="5"/>
  <c r="G90" i="5"/>
  <c r="G91" i="5"/>
  <c r="G92" i="1"/>
  <c r="G93" i="1"/>
  <c r="G94" i="1"/>
  <c r="G95" i="1"/>
  <c r="G96" i="1"/>
  <c r="G97" i="1"/>
  <c r="G98" i="1"/>
  <c r="N166" i="4"/>
  <c r="G154" i="4"/>
  <c r="G155" i="4"/>
  <c r="G156" i="4"/>
  <c r="G157" i="4"/>
  <c r="G158" i="4"/>
  <c r="G159" i="4"/>
  <c r="G160" i="4"/>
  <c r="G161" i="4"/>
  <c r="G162" i="4"/>
  <c r="G163" i="4"/>
  <c r="N163" i="4" s="1"/>
  <c r="G164" i="4"/>
  <c r="N164" i="4" s="1"/>
  <c r="M101" i="4" l="1"/>
  <c r="M133" i="4"/>
  <c r="M137" i="4"/>
  <c r="M138" i="4"/>
  <c r="M86" i="6"/>
  <c r="M87" i="6"/>
  <c r="M90" i="6"/>
  <c r="J123" i="6"/>
  <c r="J11" i="6"/>
  <c r="G153" i="4"/>
  <c r="I140" i="4"/>
  <c r="I132" i="4"/>
  <c r="I45" i="4"/>
  <c r="I95" i="5"/>
  <c r="I79" i="5"/>
  <c r="M14" i="1" l="1"/>
  <c r="M78" i="1"/>
  <c r="G86" i="5" l="1"/>
  <c r="G87" i="5"/>
  <c r="G88" i="5"/>
  <c r="G85" i="5"/>
  <c r="G95" i="5" s="1"/>
  <c r="G88" i="1"/>
  <c r="G89" i="1"/>
  <c r="G90" i="1"/>
  <c r="G91" i="1"/>
  <c r="G87" i="1"/>
  <c r="G103" i="1" s="1"/>
  <c r="G147" i="4"/>
  <c r="G148" i="4"/>
  <c r="G149" i="4"/>
  <c r="G150" i="4"/>
  <c r="G151" i="4"/>
  <c r="G152" i="4"/>
  <c r="G146" i="4"/>
  <c r="G165" i="4" l="1"/>
  <c r="N165" i="4" s="1"/>
  <c r="I123" i="6"/>
  <c r="G105" i="6"/>
  <c r="G106" i="6"/>
  <c r="G107" i="6"/>
  <c r="G108" i="6"/>
  <c r="G109" i="6"/>
  <c r="G110" i="6"/>
  <c r="G111" i="6"/>
  <c r="G112" i="6"/>
  <c r="G104" i="6"/>
  <c r="M20" i="6"/>
  <c r="M65" i="6"/>
  <c r="M68" i="6"/>
  <c r="M69" i="6"/>
  <c r="M88" i="6"/>
  <c r="M89" i="6"/>
  <c r="M93" i="6"/>
  <c r="M95" i="6"/>
  <c r="I98" i="6"/>
  <c r="J98" i="6"/>
  <c r="K98" i="6"/>
  <c r="L98" i="6"/>
  <c r="G123" i="6" l="1"/>
  <c r="N123" i="6" s="1"/>
  <c r="H98" i="6"/>
  <c r="H81" i="1"/>
  <c r="M80" i="1"/>
  <c r="M139" i="4"/>
  <c r="H45" i="4"/>
  <c r="M44" i="4"/>
  <c r="M122" i="4"/>
  <c r="M128" i="4"/>
  <c r="M129" i="4"/>
  <c r="M130" i="4"/>
  <c r="M131" i="4"/>
  <c r="M134" i="4"/>
  <c r="M135" i="4"/>
  <c r="M136" i="4"/>
  <c r="H140" i="4"/>
  <c r="M74" i="5"/>
  <c r="H79" i="5"/>
  <c r="H132" i="4"/>
  <c r="M116" i="6"/>
  <c r="N116" i="6" s="1"/>
  <c r="M115" i="6"/>
  <c r="N115" i="6" s="1"/>
  <c r="M114" i="6"/>
  <c r="N114" i="6" s="1"/>
  <c r="M113" i="6"/>
  <c r="N113" i="6" s="1"/>
  <c r="M112" i="6"/>
  <c r="N112" i="6" s="1"/>
  <c r="M111" i="6"/>
  <c r="N111" i="6" s="1"/>
  <c r="M110" i="6"/>
  <c r="N110" i="6" s="1"/>
  <c r="M109" i="6"/>
  <c r="N109" i="6" s="1"/>
  <c r="M108" i="6"/>
  <c r="N108" i="6" s="1"/>
  <c r="M107" i="6"/>
  <c r="N107" i="6" s="1"/>
  <c r="M106" i="6"/>
  <c r="N106" i="6" s="1"/>
  <c r="M105" i="6"/>
  <c r="N105" i="6" s="1"/>
  <c r="M104" i="6"/>
  <c r="N104" i="6" s="1"/>
  <c r="N95" i="5"/>
  <c r="M94" i="5"/>
  <c r="N94" i="5" s="1"/>
  <c r="M93" i="5"/>
  <c r="N93" i="5" s="1"/>
  <c r="M92" i="5"/>
  <c r="N92" i="5" s="1"/>
  <c r="M91" i="5"/>
  <c r="N91" i="5" s="1"/>
  <c r="M90" i="5"/>
  <c r="N90" i="5" s="1"/>
  <c r="M89" i="5"/>
  <c r="N89" i="5" s="1"/>
  <c r="M88" i="5"/>
  <c r="N88" i="5" s="1"/>
  <c r="M87" i="5"/>
  <c r="N87" i="5" s="1"/>
  <c r="M86" i="5"/>
  <c r="N86" i="5" s="1"/>
  <c r="M85" i="5"/>
  <c r="N85" i="5" s="1"/>
  <c r="N103" i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N162" i="4"/>
  <c r="N161" i="4"/>
  <c r="N160" i="4"/>
  <c r="M159" i="4"/>
  <c r="N159" i="4" s="1"/>
  <c r="M158" i="4"/>
  <c r="N158" i="4" s="1"/>
  <c r="M157" i="4"/>
  <c r="N157" i="4" s="1"/>
  <c r="M156" i="4"/>
  <c r="N156" i="4" s="1"/>
  <c r="M155" i="4"/>
  <c r="N155" i="4" s="1"/>
  <c r="M154" i="4"/>
  <c r="N154" i="4" s="1"/>
  <c r="M153" i="4"/>
  <c r="N153" i="4" s="1"/>
  <c r="M152" i="4"/>
  <c r="N152" i="4" s="1"/>
  <c r="M151" i="4"/>
  <c r="N151" i="4" s="1"/>
  <c r="M150" i="4"/>
  <c r="N150" i="4" s="1"/>
  <c r="M149" i="4"/>
  <c r="N149" i="4" s="1"/>
  <c r="M148" i="4"/>
  <c r="N148" i="4" s="1"/>
  <c r="M147" i="4"/>
  <c r="N147" i="4" s="1"/>
  <c r="M146" i="4"/>
  <c r="N146" i="4" s="1"/>
  <c r="F45" i="4" l="1"/>
  <c r="M53" i="5" l="1"/>
  <c r="N53" i="5" s="1"/>
  <c r="F29" i="4"/>
  <c r="G29" i="4"/>
  <c r="N28" i="4"/>
  <c r="F140" i="4" l="1"/>
  <c r="G134" i="4"/>
  <c r="N134" i="4" s="1"/>
  <c r="G135" i="4"/>
  <c r="N135" i="4" s="1"/>
  <c r="G136" i="4"/>
  <c r="N136" i="4" s="1"/>
  <c r="G137" i="4"/>
  <c r="N137" i="4" s="1"/>
  <c r="G138" i="4"/>
  <c r="N138" i="4" s="1"/>
  <c r="G139" i="4"/>
  <c r="N139" i="4" s="1"/>
  <c r="G133" i="4"/>
  <c r="N133" i="4" s="1"/>
  <c r="F98" i="6"/>
  <c r="M72" i="4" l="1"/>
  <c r="M69" i="4"/>
  <c r="M81" i="4"/>
  <c r="M86" i="4"/>
  <c r="M127" i="4"/>
  <c r="F81" i="1"/>
  <c r="I81" i="1"/>
  <c r="J81" i="1"/>
  <c r="K81" i="1"/>
  <c r="L81" i="1"/>
  <c r="J132" i="4"/>
  <c r="K132" i="4"/>
  <c r="L132" i="4"/>
  <c r="F132" i="4"/>
  <c r="F79" i="5"/>
  <c r="J79" i="5"/>
  <c r="K79" i="5"/>
  <c r="L79" i="5"/>
  <c r="I70" i="6"/>
  <c r="J70" i="6"/>
  <c r="K70" i="6"/>
  <c r="L70" i="6"/>
  <c r="N86" i="6"/>
  <c r="N87" i="6"/>
  <c r="N88" i="6"/>
  <c r="N89" i="6"/>
  <c r="N90" i="6"/>
  <c r="G128" i="4"/>
  <c r="N128" i="4" s="1"/>
  <c r="G129" i="4"/>
  <c r="N129" i="4" s="1"/>
  <c r="G130" i="4"/>
  <c r="N130" i="4" s="1"/>
  <c r="G131" i="4"/>
  <c r="N131" i="4" s="1"/>
  <c r="N127" i="4" l="1"/>
  <c r="M63" i="6" l="1"/>
  <c r="M64" i="6"/>
  <c r="I20" i="5" l="1"/>
  <c r="J20" i="5"/>
  <c r="K20" i="5"/>
  <c r="L20" i="5"/>
  <c r="I11" i="6" l="1"/>
  <c r="M36" i="4"/>
  <c r="M41" i="4"/>
  <c r="M100" i="4"/>
  <c r="M108" i="4"/>
  <c r="G91" i="6" l="1"/>
  <c r="G92" i="6"/>
  <c r="G93" i="6"/>
  <c r="G94" i="6"/>
  <c r="G95" i="6"/>
  <c r="G96" i="6"/>
  <c r="G97" i="6"/>
  <c r="G71" i="5"/>
  <c r="G73" i="5"/>
  <c r="G75" i="5"/>
  <c r="G77" i="5"/>
  <c r="G78" i="5"/>
  <c r="G66" i="5"/>
  <c r="G79" i="5" s="1"/>
  <c r="G71" i="1"/>
  <c r="G72" i="1"/>
  <c r="G73" i="1"/>
  <c r="G74" i="1"/>
  <c r="G75" i="1"/>
  <c r="G76" i="1"/>
  <c r="G77" i="1"/>
  <c r="G78" i="1"/>
  <c r="G79" i="1"/>
  <c r="G80" i="1"/>
  <c r="G122" i="4"/>
  <c r="G132" i="4" s="1"/>
  <c r="G123" i="4"/>
  <c r="G124" i="4"/>
  <c r="G140" i="4"/>
  <c r="I49" i="5"/>
  <c r="J49" i="5"/>
  <c r="K49" i="5"/>
  <c r="L49" i="5"/>
  <c r="M54" i="5"/>
  <c r="M55" i="5"/>
  <c r="I62" i="5"/>
  <c r="J62" i="5"/>
  <c r="K62" i="5"/>
  <c r="L62" i="5"/>
  <c r="I17" i="1"/>
  <c r="J17" i="1"/>
  <c r="K17" i="1"/>
  <c r="L17" i="1"/>
  <c r="I60" i="1"/>
  <c r="J60" i="1"/>
  <c r="K60" i="1"/>
  <c r="L60" i="1"/>
  <c r="J45" i="4"/>
  <c r="K45" i="4"/>
  <c r="L45" i="4"/>
  <c r="M56" i="4"/>
  <c r="I110" i="4"/>
  <c r="J110" i="4"/>
  <c r="K110" i="4"/>
  <c r="L110" i="4"/>
  <c r="M105" i="4"/>
  <c r="M106" i="4"/>
  <c r="M107" i="4"/>
  <c r="M109" i="4"/>
  <c r="I89" i="4"/>
  <c r="J89" i="4"/>
  <c r="K89" i="4"/>
  <c r="L89" i="4"/>
  <c r="M77" i="4"/>
  <c r="M73" i="4"/>
  <c r="M70" i="4"/>
  <c r="M68" i="4"/>
  <c r="M61" i="4"/>
  <c r="M39" i="4"/>
  <c r="M37" i="4"/>
  <c r="G81" i="1" l="1"/>
  <c r="G98" i="6"/>
  <c r="H60" i="1"/>
  <c r="H17" i="1"/>
  <c r="H70" i="6"/>
  <c r="H62" i="5"/>
  <c r="H20" i="5"/>
  <c r="H110" i="4"/>
  <c r="M63" i="4"/>
  <c r="F11" i="6" l="1"/>
  <c r="G11" i="6"/>
  <c r="M37" i="5" l="1"/>
  <c r="F20" i="5"/>
  <c r="F17" i="1"/>
  <c r="M97" i="6" l="1"/>
  <c r="N97" i="6" s="1"/>
  <c r="M96" i="6"/>
  <c r="N96" i="6" s="1"/>
  <c r="N95" i="6"/>
  <c r="M94" i="6"/>
  <c r="N94" i="6" s="1"/>
  <c r="N93" i="6"/>
  <c r="M92" i="6"/>
  <c r="N92" i="6" s="1"/>
  <c r="M91" i="6"/>
  <c r="N91" i="6" s="1"/>
  <c r="M85" i="6"/>
  <c r="N85" i="6" s="1"/>
  <c r="M84" i="6"/>
  <c r="N84" i="6" s="1"/>
  <c r="M83" i="6"/>
  <c r="N83" i="6" s="1"/>
  <c r="M82" i="6"/>
  <c r="N82" i="6" s="1"/>
  <c r="M81" i="6"/>
  <c r="N81" i="6" s="1"/>
  <c r="M80" i="6"/>
  <c r="N80" i="6" s="1"/>
  <c r="M79" i="6"/>
  <c r="N79" i="6" s="1"/>
  <c r="M78" i="6"/>
  <c r="N78" i="6" s="1"/>
  <c r="M77" i="6"/>
  <c r="N77" i="6" s="1"/>
  <c r="M76" i="6"/>
  <c r="N76" i="6" s="1"/>
  <c r="M75" i="6"/>
  <c r="N75" i="6" s="1"/>
  <c r="M74" i="6"/>
  <c r="M79" i="5"/>
  <c r="N79" i="5" s="1"/>
  <c r="M78" i="5"/>
  <c r="N78" i="5" s="1"/>
  <c r="M77" i="5"/>
  <c r="N77" i="5" s="1"/>
  <c r="M76" i="5"/>
  <c r="N76" i="5" s="1"/>
  <c r="M75" i="5"/>
  <c r="N75" i="5" s="1"/>
  <c r="N74" i="5"/>
  <c r="M73" i="5"/>
  <c r="N73" i="5" s="1"/>
  <c r="M72" i="5"/>
  <c r="N72" i="5" s="1"/>
  <c r="M71" i="5"/>
  <c r="N71" i="5" s="1"/>
  <c r="M70" i="5"/>
  <c r="N70" i="5" s="1"/>
  <c r="M69" i="5"/>
  <c r="N69" i="5" s="1"/>
  <c r="M68" i="5"/>
  <c r="N68" i="5" s="1"/>
  <c r="M67" i="5"/>
  <c r="N67" i="5" s="1"/>
  <c r="M66" i="5"/>
  <c r="N66" i="5" s="1"/>
  <c r="M81" i="1"/>
  <c r="N81" i="1" s="1"/>
  <c r="N80" i="1"/>
  <c r="M79" i="1"/>
  <c r="N79" i="1" s="1"/>
  <c r="N78" i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M69" i="1"/>
  <c r="N69" i="1" s="1"/>
  <c r="M68" i="1"/>
  <c r="M67" i="1"/>
  <c r="N67" i="1" s="1"/>
  <c r="M66" i="1"/>
  <c r="N66" i="1" s="1"/>
  <c r="M65" i="1"/>
  <c r="N65" i="1" s="1"/>
  <c r="M64" i="1"/>
  <c r="N64" i="1" s="1"/>
  <c r="M140" i="4"/>
  <c r="N140" i="4" s="1"/>
  <c r="M132" i="4"/>
  <c r="N132" i="4" s="1"/>
  <c r="M126" i="4"/>
  <c r="N126" i="4" s="1"/>
  <c r="M125" i="4"/>
  <c r="N125" i="4" s="1"/>
  <c r="M124" i="4"/>
  <c r="N124" i="4" s="1"/>
  <c r="M123" i="4"/>
  <c r="N123" i="4" s="1"/>
  <c r="N122" i="4"/>
  <c r="M121" i="4"/>
  <c r="N121" i="4" s="1"/>
  <c r="M120" i="4"/>
  <c r="N120" i="4" s="1"/>
  <c r="M119" i="4"/>
  <c r="N119" i="4" s="1"/>
  <c r="M118" i="4"/>
  <c r="N118" i="4" s="1"/>
  <c r="M117" i="4"/>
  <c r="N117" i="4" s="1"/>
  <c r="M116" i="4"/>
  <c r="N116" i="4" s="1"/>
  <c r="M115" i="4"/>
  <c r="N115" i="4" s="1"/>
  <c r="M114" i="4"/>
  <c r="N114" i="4" s="1"/>
  <c r="N74" i="6" l="1"/>
  <c r="M98" i="6"/>
  <c r="N98" i="6" s="1"/>
  <c r="N68" i="1"/>
  <c r="M45" i="1" l="1"/>
  <c r="M46" i="1"/>
  <c r="M57" i="4"/>
  <c r="M60" i="4"/>
  <c r="M62" i="4"/>
  <c r="M64" i="4"/>
  <c r="M65" i="4"/>
  <c r="M66" i="4"/>
  <c r="I67" i="4"/>
  <c r="J67" i="4"/>
  <c r="K67" i="4"/>
  <c r="L67" i="4"/>
  <c r="M71" i="4"/>
  <c r="M74" i="4"/>
  <c r="M75" i="4"/>
  <c r="M76" i="4"/>
  <c r="M79" i="4"/>
  <c r="M80" i="4"/>
  <c r="M82" i="4"/>
  <c r="M83" i="4"/>
  <c r="M84" i="4"/>
  <c r="M85" i="4"/>
  <c r="M87" i="4"/>
  <c r="M44" i="5"/>
  <c r="M48" i="5"/>
  <c r="N54" i="5"/>
  <c r="N55" i="5"/>
  <c r="M21" i="6"/>
  <c r="M40" i="6"/>
  <c r="M42" i="6"/>
  <c r="I51" i="6"/>
  <c r="J51" i="6"/>
  <c r="K51" i="6"/>
  <c r="L51" i="6"/>
  <c r="M45" i="6"/>
  <c r="M46" i="6"/>
  <c r="M47" i="6"/>
  <c r="M48" i="6"/>
  <c r="M49" i="6"/>
  <c r="M50" i="6"/>
  <c r="F70" i="6"/>
  <c r="F110" i="4"/>
  <c r="F60" i="1"/>
  <c r="F62" i="5"/>
  <c r="M89" i="4" l="1"/>
  <c r="I47" i="1"/>
  <c r="J47" i="1"/>
  <c r="K47" i="1"/>
  <c r="L47" i="1"/>
  <c r="G101" i="4" l="1"/>
  <c r="G110" i="4" l="1"/>
  <c r="G70" i="6"/>
  <c r="G62" i="5"/>
  <c r="G60" i="1"/>
  <c r="H89" i="4"/>
  <c r="H67" i="4"/>
  <c r="H47" i="1"/>
  <c r="H49" i="5"/>
  <c r="H51" i="6"/>
  <c r="I29" i="4" l="1"/>
  <c r="I142" i="4" s="1"/>
  <c r="J29" i="4"/>
  <c r="J142" i="4" s="1"/>
  <c r="K29" i="4"/>
  <c r="K142" i="4" s="1"/>
  <c r="L29" i="4"/>
  <c r="L142" i="4" s="1"/>
  <c r="H29" i="4"/>
  <c r="H142" i="4" s="1"/>
  <c r="N69" i="6"/>
  <c r="N68" i="6"/>
  <c r="M67" i="6"/>
  <c r="N67" i="6" s="1"/>
  <c r="M66" i="6"/>
  <c r="N66" i="6" s="1"/>
  <c r="N65" i="6"/>
  <c r="N64" i="6"/>
  <c r="N63" i="6"/>
  <c r="M62" i="6"/>
  <c r="N62" i="6" s="1"/>
  <c r="M61" i="6"/>
  <c r="N61" i="6" s="1"/>
  <c r="M60" i="6"/>
  <c r="N60" i="6" s="1"/>
  <c r="M59" i="6"/>
  <c r="N59" i="6" s="1"/>
  <c r="M58" i="6"/>
  <c r="N58" i="6" s="1"/>
  <c r="M57" i="6"/>
  <c r="N57" i="6" s="1"/>
  <c r="M56" i="6"/>
  <c r="N56" i="6" s="1"/>
  <c r="M55" i="6"/>
  <c r="M61" i="5"/>
  <c r="N61" i="5" s="1"/>
  <c r="M60" i="5"/>
  <c r="N60" i="5" s="1"/>
  <c r="M59" i="5"/>
  <c r="N59" i="5" s="1"/>
  <c r="M58" i="5"/>
  <c r="N58" i="5" s="1"/>
  <c r="M57" i="5"/>
  <c r="N57" i="5" s="1"/>
  <c r="M56" i="5"/>
  <c r="N59" i="1"/>
  <c r="M58" i="1"/>
  <c r="N58" i="1" s="1"/>
  <c r="M57" i="1"/>
  <c r="N57" i="1" s="1"/>
  <c r="M56" i="1"/>
  <c r="N56" i="1" s="1"/>
  <c r="M55" i="1"/>
  <c r="N55" i="1" s="1"/>
  <c r="M54" i="1"/>
  <c r="N54" i="1" s="1"/>
  <c r="M53" i="1"/>
  <c r="M52" i="1"/>
  <c r="N52" i="1" s="1"/>
  <c r="M51" i="1"/>
  <c r="N51" i="1" s="1"/>
  <c r="N109" i="4"/>
  <c r="N108" i="4"/>
  <c r="N107" i="4"/>
  <c r="N106" i="4"/>
  <c r="N105" i="4"/>
  <c r="M104" i="4"/>
  <c r="N104" i="4" s="1"/>
  <c r="M103" i="4"/>
  <c r="N103" i="4" s="1"/>
  <c r="M102" i="4"/>
  <c r="N102" i="4" s="1"/>
  <c r="N101" i="4"/>
  <c r="N100" i="4"/>
  <c r="M99" i="4"/>
  <c r="M98" i="4"/>
  <c r="N98" i="4" s="1"/>
  <c r="M97" i="4"/>
  <c r="N97" i="4" s="1"/>
  <c r="M96" i="4"/>
  <c r="N96" i="4" s="1"/>
  <c r="M95" i="4"/>
  <c r="N95" i="4" s="1"/>
  <c r="M94" i="4"/>
  <c r="N94" i="4" s="1"/>
  <c r="M93" i="4"/>
  <c r="N99" i="4" l="1"/>
  <c r="N55" i="6"/>
  <c r="M70" i="6"/>
  <c r="N70" i="6" s="1"/>
  <c r="N56" i="5"/>
  <c r="M62" i="5"/>
  <c r="N62" i="5" s="1"/>
  <c r="N93" i="4"/>
  <c r="M110" i="4"/>
  <c r="N110" i="4" s="1"/>
  <c r="N53" i="1"/>
  <c r="M60" i="1"/>
  <c r="N60" i="1" s="1"/>
  <c r="M40" i="1"/>
  <c r="F89" i="4" l="1"/>
  <c r="N69" i="4"/>
  <c r="N70" i="4"/>
  <c r="N71" i="4"/>
  <c r="N72" i="4"/>
  <c r="N73" i="4"/>
  <c r="N74" i="4"/>
  <c r="N75" i="4"/>
  <c r="N76" i="4"/>
  <c r="N77" i="4"/>
  <c r="G78" i="4"/>
  <c r="N78" i="4" s="1"/>
  <c r="N79" i="4"/>
  <c r="N80" i="4"/>
  <c r="N81" i="4"/>
  <c r="N82" i="4"/>
  <c r="N83" i="4"/>
  <c r="N84" i="4"/>
  <c r="N85" i="4"/>
  <c r="N86" i="4"/>
  <c r="N87" i="4"/>
  <c r="G88" i="4"/>
  <c r="N88" i="4" s="1"/>
  <c r="N68" i="4"/>
  <c r="G45" i="5"/>
  <c r="N45" i="6"/>
  <c r="N46" i="6"/>
  <c r="N47" i="6"/>
  <c r="N48" i="6"/>
  <c r="N49" i="6" l="1"/>
  <c r="N50" i="6"/>
  <c r="G89" i="4"/>
  <c r="N89" i="4" s="1"/>
  <c r="F51" i="6"/>
  <c r="F67" i="4"/>
  <c r="F142" i="4" s="1"/>
  <c r="M26" i="4"/>
  <c r="F49" i="5"/>
  <c r="N37" i="5"/>
  <c r="F47" i="1"/>
  <c r="N40" i="1"/>
  <c r="N63" i="4" l="1"/>
  <c r="N64" i="4"/>
  <c r="N65" i="4"/>
  <c r="N66" i="4"/>
  <c r="M28" i="1" l="1"/>
  <c r="M32" i="1"/>
  <c r="N62" i="4" l="1"/>
  <c r="M35" i="5" l="1"/>
  <c r="N35" i="5" l="1"/>
  <c r="M29" i="5" l="1"/>
  <c r="I30" i="5"/>
  <c r="I81" i="5" s="1"/>
  <c r="J30" i="5"/>
  <c r="J81" i="5" s="1"/>
  <c r="K30" i="5"/>
  <c r="K81" i="5" s="1"/>
  <c r="L30" i="5"/>
  <c r="L81" i="5" s="1"/>
  <c r="G47" i="1" l="1"/>
  <c r="G49" i="5"/>
  <c r="G51" i="6"/>
  <c r="G67" i="4" l="1"/>
  <c r="M29" i="1"/>
  <c r="I34" i="1"/>
  <c r="I83" i="1" s="1"/>
  <c r="J34" i="1"/>
  <c r="J83" i="1" s="1"/>
  <c r="K34" i="1"/>
  <c r="K83" i="1" s="1"/>
  <c r="L34" i="1"/>
  <c r="L83" i="1" s="1"/>
  <c r="H34" i="1"/>
  <c r="H83" i="1" s="1"/>
  <c r="M38" i="4"/>
  <c r="M40" i="4"/>
  <c r="M42" i="4"/>
  <c r="M43" i="4"/>
  <c r="H30" i="5" l="1"/>
  <c r="H81" i="5" s="1"/>
  <c r="I28" i="6"/>
  <c r="I100" i="6" s="1"/>
  <c r="J28" i="6"/>
  <c r="J100" i="6" s="1"/>
  <c r="K28" i="6"/>
  <c r="L28" i="6"/>
  <c r="M23" i="6"/>
  <c r="M24" i="6"/>
  <c r="M25" i="6"/>
  <c r="M26" i="6"/>
  <c r="M27" i="6"/>
  <c r="H28" i="6"/>
  <c r="M44" i="6" l="1"/>
  <c r="N44" i="6" s="1"/>
  <c r="M43" i="6"/>
  <c r="N43" i="6" s="1"/>
  <c r="N42" i="6"/>
  <c r="M41" i="6"/>
  <c r="N40" i="6"/>
  <c r="M39" i="6"/>
  <c r="N39" i="6" s="1"/>
  <c r="M38" i="6"/>
  <c r="N38" i="6" s="1"/>
  <c r="M37" i="6"/>
  <c r="N37" i="6" s="1"/>
  <c r="M36" i="6"/>
  <c r="N36" i="6" s="1"/>
  <c r="M35" i="6"/>
  <c r="N35" i="6" s="1"/>
  <c r="M34" i="6"/>
  <c r="N34" i="6" s="1"/>
  <c r="M33" i="6"/>
  <c r="N33" i="6" s="1"/>
  <c r="M32" i="6"/>
  <c r="N48" i="5"/>
  <c r="M47" i="5"/>
  <c r="N47" i="5" s="1"/>
  <c r="M46" i="5"/>
  <c r="N46" i="5" s="1"/>
  <c r="M45" i="5"/>
  <c r="N45" i="5" s="1"/>
  <c r="N44" i="5"/>
  <c r="M43" i="5"/>
  <c r="N43" i="5" s="1"/>
  <c r="M42" i="5"/>
  <c r="N42" i="5" s="1"/>
  <c r="M41" i="5"/>
  <c r="M40" i="5"/>
  <c r="N40" i="5" s="1"/>
  <c r="M39" i="5"/>
  <c r="M38" i="5"/>
  <c r="N38" i="5" s="1"/>
  <c r="M36" i="5"/>
  <c r="N36" i="5" s="1"/>
  <c r="M34" i="5"/>
  <c r="N46" i="1"/>
  <c r="N45" i="1"/>
  <c r="M44" i="1"/>
  <c r="N44" i="1" s="1"/>
  <c r="M43" i="1"/>
  <c r="N43" i="1" s="1"/>
  <c r="M42" i="1"/>
  <c r="N42" i="1" s="1"/>
  <c r="M41" i="1"/>
  <c r="N41" i="1" s="1"/>
  <c r="M39" i="1"/>
  <c r="N39" i="1" s="1"/>
  <c r="M38" i="1"/>
  <c r="N61" i="4"/>
  <c r="N60" i="4"/>
  <c r="M59" i="4"/>
  <c r="N59" i="4" s="1"/>
  <c r="M58" i="4"/>
  <c r="N58" i="4" s="1"/>
  <c r="N57" i="4"/>
  <c r="N56" i="4"/>
  <c r="M55" i="4"/>
  <c r="N55" i="4" s="1"/>
  <c r="M54" i="4"/>
  <c r="N54" i="4" s="1"/>
  <c r="M53" i="4"/>
  <c r="N53" i="4" s="1"/>
  <c r="M52" i="4"/>
  <c r="N52" i="4" s="1"/>
  <c r="M51" i="4"/>
  <c r="N51" i="4" s="1"/>
  <c r="M50" i="4"/>
  <c r="N50" i="4" s="1"/>
  <c r="M49" i="4"/>
  <c r="N41" i="6" l="1"/>
  <c r="N39" i="5"/>
  <c r="N34" i="5"/>
  <c r="M49" i="5"/>
  <c r="N49" i="5" s="1"/>
  <c r="N41" i="5"/>
  <c r="N32" i="6"/>
  <c r="M51" i="6"/>
  <c r="N51" i="6" s="1"/>
  <c r="N38" i="1"/>
  <c r="M47" i="1"/>
  <c r="N47" i="1" s="1"/>
  <c r="N49" i="4"/>
  <c r="M67" i="4"/>
  <c r="N67" i="4" s="1"/>
  <c r="M19" i="5"/>
  <c r="N19" i="5" s="1"/>
  <c r="N38" i="4" l="1"/>
  <c r="N39" i="4"/>
  <c r="N40" i="4"/>
  <c r="N42" i="4"/>
  <c r="N43" i="4"/>
  <c r="G44" i="4"/>
  <c r="F34" i="1"/>
  <c r="F83" i="1" s="1"/>
  <c r="G33" i="1"/>
  <c r="F28" i="6"/>
  <c r="F100" i="6" s="1"/>
  <c r="N44" i="4" l="1"/>
  <c r="G45" i="4"/>
  <c r="G142" i="4" s="1"/>
  <c r="N41" i="4"/>
  <c r="N37" i="4"/>
  <c r="N27" i="6"/>
  <c r="F30" i="5" l="1"/>
  <c r="F81" i="5" s="1"/>
  <c r="G30" i="5" l="1"/>
  <c r="G27" i="1"/>
  <c r="G34" i="1" l="1"/>
  <c r="G28" i="6"/>
  <c r="G100" i="6" s="1"/>
  <c r="N26" i="6" l="1"/>
  <c r="N25" i="6"/>
  <c r="N24" i="6"/>
  <c r="N23" i="6"/>
  <c r="M22" i="6"/>
  <c r="N22" i="6" s="1"/>
  <c r="N21" i="6"/>
  <c r="N20" i="6"/>
  <c r="M19" i="6"/>
  <c r="N19" i="6" s="1"/>
  <c r="M18" i="6"/>
  <c r="N18" i="6" s="1"/>
  <c r="M17" i="6"/>
  <c r="N17" i="6" s="1"/>
  <c r="M16" i="6"/>
  <c r="N16" i="6" s="1"/>
  <c r="M15" i="6"/>
  <c r="N15" i="6" s="1"/>
  <c r="N29" i="5"/>
  <c r="M28" i="5"/>
  <c r="N28" i="5" s="1"/>
  <c r="M27" i="5"/>
  <c r="N27" i="5" s="1"/>
  <c r="M26" i="5"/>
  <c r="N26" i="5" s="1"/>
  <c r="M25" i="5"/>
  <c r="N25" i="5" s="1"/>
  <c r="M24" i="5"/>
  <c r="N24" i="5" s="1"/>
  <c r="N33" i="1"/>
  <c r="N32" i="1"/>
  <c r="M31" i="1"/>
  <c r="N31" i="1" s="1"/>
  <c r="M30" i="1"/>
  <c r="N30" i="1" s="1"/>
  <c r="N29" i="1"/>
  <c r="N28" i="1"/>
  <c r="M27" i="1"/>
  <c r="N27" i="1" s="1"/>
  <c r="M26" i="1"/>
  <c r="N26" i="1" s="1"/>
  <c r="M25" i="1"/>
  <c r="N25" i="1" s="1"/>
  <c r="M24" i="1"/>
  <c r="N24" i="1" s="1"/>
  <c r="M23" i="1"/>
  <c r="M22" i="1"/>
  <c r="N22" i="1" s="1"/>
  <c r="M21" i="1"/>
  <c r="N21" i="1" s="1"/>
  <c r="N36" i="4"/>
  <c r="M35" i="4"/>
  <c r="N35" i="4" s="1"/>
  <c r="M34" i="4"/>
  <c r="N34" i="4" s="1"/>
  <c r="M33" i="4"/>
  <c r="N33" i="4" s="1"/>
  <c r="M45" i="4" l="1"/>
  <c r="N45" i="4" s="1"/>
  <c r="M28" i="6"/>
  <c r="M30" i="5"/>
  <c r="N23" i="1"/>
  <c r="M34" i="1"/>
  <c r="M15" i="5"/>
  <c r="N28" i="6" l="1"/>
  <c r="N34" i="1"/>
  <c r="N30" i="5"/>
  <c r="M10" i="6"/>
  <c r="K11" i="6"/>
  <c r="K100" i="6" s="1"/>
  <c r="L11" i="6"/>
  <c r="L100" i="6" s="1"/>
  <c r="H11" i="6" l="1"/>
  <c r="H100" i="6" s="1"/>
  <c r="G18" i="5" l="1"/>
  <c r="G20" i="5" s="1"/>
  <c r="G81" i="5" s="1"/>
  <c r="N18" i="5" l="1"/>
  <c r="M25" i="4"/>
  <c r="N25" i="4" s="1"/>
  <c r="N10" i="6" l="1"/>
  <c r="M27" i="4" l="1"/>
  <c r="M16" i="5" l="1"/>
  <c r="M11" i="6" l="1"/>
  <c r="M100" i="6" s="1"/>
  <c r="N100" i="6" s="1"/>
  <c r="N11" i="6" l="1"/>
  <c r="M15" i="1"/>
  <c r="N15" i="1" s="1"/>
  <c r="N26" i="4" l="1"/>
  <c r="N27" i="4"/>
  <c r="G16" i="1" l="1"/>
  <c r="G17" i="1" s="1"/>
  <c r="G83" i="1" s="1"/>
  <c r="N16" i="1" l="1"/>
  <c r="M14" i="4" l="1"/>
  <c r="M24" i="4" l="1"/>
  <c r="N24" i="4" s="1"/>
  <c r="M23" i="4" l="1"/>
  <c r="M11" i="5" l="1"/>
  <c r="N14" i="1"/>
  <c r="N11" i="5" l="1"/>
  <c r="N23" i="4"/>
  <c r="M22" i="4" l="1"/>
  <c r="M17" i="5" l="1"/>
  <c r="M13" i="1" l="1"/>
  <c r="N13" i="1" l="1"/>
  <c r="N15" i="5"/>
  <c r="N17" i="5" l="1"/>
  <c r="N16" i="5"/>
  <c r="M14" i="5"/>
  <c r="N14" i="5" s="1"/>
  <c r="M13" i="5"/>
  <c r="M12" i="5"/>
  <c r="N13" i="5" l="1"/>
  <c r="N12" i="5"/>
  <c r="N22" i="4" l="1"/>
  <c r="M21" i="4"/>
  <c r="N21" i="4" l="1"/>
  <c r="M20" i="4" l="1"/>
  <c r="N20" i="4" s="1"/>
  <c r="M19" i="4"/>
  <c r="N19" i="4" s="1"/>
  <c r="M18" i="4"/>
  <c r="N18" i="4" s="1"/>
  <c r="M15" i="4" l="1"/>
  <c r="M11" i="1" l="1"/>
  <c r="N11" i="1" s="1"/>
  <c r="M17" i="4"/>
  <c r="N17" i="4" s="1"/>
  <c r="M12" i="1" l="1"/>
  <c r="N12" i="1" s="1"/>
  <c r="M16" i="4" l="1"/>
  <c r="N16" i="4" l="1"/>
  <c r="N15" i="4" l="1"/>
  <c r="M12" i="4" l="1"/>
  <c r="M10" i="4" l="1"/>
  <c r="M13" i="4" l="1"/>
  <c r="M9" i="4" l="1"/>
  <c r="N14" i="4" l="1"/>
  <c r="N13" i="4" l="1"/>
  <c r="N12" i="4" l="1"/>
  <c r="M11" i="4"/>
  <c r="N11" i="4" l="1"/>
  <c r="M10" i="5"/>
  <c r="M20" i="5" s="1"/>
  <c r="M81" i="5" s="1"/>
  <c r="N81" i="5" s="1"/>
  <c r="N20" i="5" l="1"/>
  <c r="N10" i="5"/>
  <c r="N9" i="4" l="1"/>
  <c r="N10" i="4"/>
  <c r="M8" i="4" l="1"/>
  <c r="M29" i="4" s="1"/>
  <c r="M142" i="4" s="1"/>
  <c r="N142" i="4" s="1"/>
  <c r="N29" i="4" l="1"/>
  <c r="N8" i="4"/>
  <c r="M10" i="1" l="1"/>
  <c r="N10" i="1" s="1"/>
  <c r="M9" i="6" l="1"/>
  <c r="N9" i="6" l="1"/>
  <c r="M9" i="1" l="1"/>
  <c r="M17" i="1" s="1"/>
  <c r="M83" i="1" s="1"/>
  <c r="N83" i="1" s="1"/>
  <c r="N17" i="1" l="1"/>
  <c r="N9" i="1"/>
</calcChain>
</file>

<file path=xl/sharedStrings.xml><?xml version="1.0" encoding="utf-8"?>
<sst xmlns="http://schemas.openxmlformats.org/spreadsheetml/2006/main" count="979" uniqueCount="330">
  <si>
    <t>TGL</t>
  </si>
  <si>
    <t>NO</t>
  </si>
  <si>
    <t>AGG</t>
  </si>
  <si>
    <t>L/B</t>
  </si>
  <si>
    <t>NAMA</t>
  </si>
  <si>
    <t>PINJAMAN</t>
  </si>
  <si>
    <t>SALDO POKOK</t>
  </si>
  <si>
    <t>ANGSURAN</t>
  </si>
  <si>
    <t>TOTAL SALDO</t>
  </si>
  <si>
    <t>BUKU ANGSURAN</t>
  </si>
  <si>
    <t>KAMIS</t>
  </si>
  <si>
    <t xml:space="preserve"> RESORT 0.4</t>
  </si>
  <si>
    <t xml:space="preserve"> RESORT 0.3</t>
  </si>
  <si>
    <t xml:space="preserve"> RESORT 0.2</t>
  </si>
  <si>
    <t xml:space="preserve"> RESORT 0.1</t>
  </si>
  <si>
    <t>L</t>
  </si>
  <si>
    <t>B</t>
  </si>
  <si>
    <t>CALON MACET</t>
  </si>
  <si>
    <t xml:space="preserve">HARI </t>
  </si>
  <si>
    <t>Kasiman</t>
  </si>
  <si>
    <t xml:space="preserve"> MACET</t>
  </si>
  <si>
    <t>Turiyah</t>
  </si>
  <si>
    <t>Pariyem</t>
  </si>
  <si>
    <t>Turisman</t>
  </si>
  <si>
    <t>Muhlasin</t>
  </si>
  <si>
    <t>Sakun</t>
  </si>
  <si>
    <t>Samiyo</t>
  </si>
  <si>
    <t>Sumardi</t>
  </si>
  <si>
    <t>Lasimin</t>
  </si>
  <si>
    <t>Jono</t>
  </si>
  <si>
    <t>Ngaliyah</t>
  </si>
  <si>
    <t>Suratno</t>
  </si>
  <si>
    <t>Samsuri</t>
  </si>
  <si>
    <t>Muhlidin</t>
  </si>
  <si>
    <t>Sainem</t>
  </si>
  <si>
    <t>nurudin /prenjak</t>
  </si>
  <si>
    <t>Anton</t>
  </si>
  <si>
    <t>Sunarti</t>
  </si>
  <si>
    <t>Amad</t>
  </si>
  <si>
    <t>Masdar</t>
  </si>
  <si>
    <t>Ite</t>
  </si>
  <si>
    <t>Maryati</t>
  </si>
  <si>
    <t>Sugito/wahyono</t>
  </si>
  <si>
    <t>nasrul</t>
  </si>
  <si>
    <t>masilroh</t>
  </si>
  <si>
    <t>Paryono</t>
  </si>
  <si>
    <t>Rani R</t>
  </si>
  <si>
    <t>Manisah</t>
  </si>
  <si>
    <t>Samsi</t>
  </si>
  <si>
    <t>Wasirah</t>
  </si>
  <si>
    <t>Yami</t>
  </si>
  <si>
    <t>Sartini</t>
  </si>
  <si>
    <t>Salud</t>
  </si>
  <si>
    <t>Alsiyah</t>
  </si>
  <si>
    <t>Bagus</t>
  </si>
  <si>
    <t>Candul</t>
  </si>
  <si>
    <t>Mislam</t>
  </si>
  <si>
    <t>Suripah</t>
  </si>
  <si>
    <t>Eka F</t>
  </si>
  <si>
    <t>Nuriman</t>
  </si>
  <si>
    <t>Sukarso</t>
  </si>
  <si>
    <t>Siti khotimah</t>
  </si>
  <si>
    <t>Darmin</t>
  </si>
  <si>
    <t>Suparmin</t>
  </si>
  <si>
    <t>Siti juhariyah</t>
  </si>
  <si>
    <t>Marsiyah</t>
  </si>
  <si>
    <t>Sakinem</t>
  </si>
  <si>
    <t>Yumiati</t>
  </si>
  <si>
    <t>Puji</t>
  </si>
  <si>
    <t>Wasitah</t>
  </si>
  <si>
    <t>Edi purwanto</t>
  </si>
  <si>
    <t>Sardiyanto</t>
  </si>
  <si>
    <t>Darti</t>
  </si>
  <si>
    <t>Supriyati</t>
  </si>
  <si>
    <t>Sartiman</t>
  </si>
  <si>
    <t>Titin</t>
  </si>
  <si>
    <t>Sino</t>
  </si>
  <si>
    <t>Rasini</t>
  </si>
  <si>
    <t>Supardal</t>
  </si>
  <si>
    <t>Kasmiyati</t>
  </si>
  <si>
    <t>Tasirin</t>
  </si>
  <si>
    <t>Ririn eka</t>
  </si>
  <si>
    <t>Satirah</t>
  </si>
  <si>
    <t>Tasikun</t>
  </si>
  <si>
    <t>Kholifah</t>
  </si>
  <si>
    <t>Sias</t>
  </si>
  <si>
    <t>Radikin</t>
  </si>
  <si>
    <t>S Rodiyah</t>
  </si>
  <si>
    <t>Sadun</t>
  </si>
  <si>
    <t>Ahmad muhtar</t>
  </si>
  <si>
    <t>Sri</t>
  </si>
  <si>
    <t>turimin</t>
  </si>
  <si>
    <t>turasih</t>
  </si>
  <si>
    <t>Sardi saren</t>
  </si>
  <si>
    <t>Rasitah</t>
  </si>
  <si>
    <t>Ilun</t>
  </si>
  <si>
    <t>ani</t>
  </si>
  <si>
    <t>Sugino</t>
  </si>
  <si>
    <t>Tri wahyuni</t>
  </si>
  <si>
    <t>Sutiyah</t>
  </si>
  <si>
    <t>Sarifudin</t>
  </si>
  <si>
    <t>Susi</t>
  </si>
  <si>
    <t>Basmin</t>
  </si>
  <si>
    <t>Kasimin</t>
  </si>
  <si>
    <t>Warsito</t>
  </si>
  <si>
    <t>Raman</t>
  </si>
  <si>
    <t>Rizki</t>
  </si>
  <si>
    <t>Mujibudin</t>
  </si>
  <si>
    <t>Daryanti</t>
  </si>
  <si>
    <t>Suparno</t>
  </si>
  <si>
    <t>Supriyanto</t>
  </si>
  <si>
    <t>Solehudin</t>
  </si>
  <si>
    <t>Nur khasani</t>
  </si>
  <si>
    <t>Solimin</t>
  </si>
  <si>
    <t>Sakirin</t>
  </si>
  <si>
    <t>Kasini</t>
  </si>
  <si>
    <t>Romiyah</t>
  </si>
  <si>
    <t>Kasih</t>
  </si>
  <si>
    <t>Samud</t>
  </si>
  <si>
    <t>Nur fitriyah</t>
  </si>
  <si>
    <t>Teguh</t>
  </si>
  <si>
    <t>Agus siswanto</t>
  </si>
  <si>
    <t>Sudarmin</t>
  </si>
  <si>
    <t>Husni kasidin</t>
  </si>
  <si>
    <t>Saliyo</t>
  </si>
  <si>
    <t>Timan</t>
  </si>
  <si>
    <t>Amin</t>
  </si>
  <si>
    <t>Edi suyatno</t>
  </si>
  <si>
    <t>Dalimin</t>
  </si>
  <si>
    <t>M Aziz</t>
  </si>
  <si>
    <t>Binta</t>
  </si>
  <si>
    <t>Rochimin</t>
  </si>
  <si>
    <t>Rohman</t>
  </si>
  <si>
    <t>Lamiyah</t>
  </si>
  <si>
    <t>Kholifun</t>
  </si>
  <si>
    <t>Sakini</t>
  </si>
  <si>
    <t>Sadimin</t>
  </si>
  <si>
    <t>Sarip</t>
  </si>
  <si>
    <t>Kuat widodo</t>
  </si>
  <si>
    <t>soiman</t>
  </si>
  <si>
    <t>Amir</t>
  </si>
  <si>
    <t>Parimin</t>
  </si>
  <si>
    <t>Parinah</t>
  </si>
  <si>
    <t>Solehan</t>
  </si>
  <si>
    <t>Siti M</t>
  </si>
  <si>
    <t>Rasimin</t>
  </si>
  <si>
    <t>Sahidin</t>
  </si>
  <si>
    <t>Rubinawati</t>
  </si>
  <si>
    <t>Lasini</t>
  </si>
  <si>
    <t>Saminem</t>
  </si>
  <si>
    <t>Tinem</t>
  </si>
  <si>
    <t>sutrisno</t>
  </si>
  <si>
    <t>Rodiyah</t>
  </si>
  <si>
    <t>Ratino</t>
  </si>
  <si>
    <t>Maryanti</t>
  </si>
  <si>
    <t>Kesod/Adi</t>
  </si>
  <si>
    <t>Dicky oktriadi</t>
  </si>
  <si>
    <t>Muslimin</t>
  </si>
  <si>
    <t>Rasikem</t>
  </si>
  <si>
    <t>Rasiyem</t>
  </si>
  <si>
    <t>Juniyah</t>
  </si>
  <si>
    <t>Pardi</t>
  </si>
  <si>
    <t>Sahrul</t>
  </si>
  <si>
    <t>Fahrudin</t>
  </si>
  <si>
    <t>Laras E</t>
  </si>
  <si>
    <t>Mulyono</t>
  </si>
  <si>
    <t>Yaimin</t>
  </si>
  <si>
    <t>Maswah</t>
  </si>
  <si>
    <t>Sarinah</t>
  </si>
  <si>
    <t>Nasiyem</t>
  </si>
  <si>
    <t>Admiyah</t>
  </si>
  <si>
    <t>Mudin</t>
  </si>
  <si>
    <t>Pasiman</t>
  </si>
  <si>
    <t>eliana yulianti</t>
  </si>
  <si>
    <t>umaryanto</t>
  </si>
  <si>
    <t>karsini</t>
  </si>
  <si>
    <t>korog</t>
  </si>
  <si>
    <t>ridwan</t>
  </si>
  <si>
    <t>Nursiati</t>
  </si>
  <si>
    <t>Sibad</t>
  </si>
  <si>
    <t>Yanto</t>
  </si>
  <si>
    <t>Siti fatimah</t>
  </si>
  <si>
    <t>Tarsono</t>
  </si>
  <si>
    <t>Sakiman</t>
  </si>
  <si>
    <t>Warsiyah</t>
  </si>
  <si>
    <t>basuki</t>
  </si>
  <si>
    <t>waryanti</t>
  </si>
  <si>
    <t>suratmi</t>
  </si>
  <si>
    <t>paryanto</t>
  </si>
  <si>
    <t>kasan</t>
  </si>
  <si>
    <t>fajar</t>
  </si>
  <si>
    <t>ridwan sena</t>
  </si>
  <si>
    <t>tri budiono</t>
  </si>
  <si>
    <t>rasiman</t>
  </si>
  <si>
    <t>Karsih</t>
  </si>
  <si>
    <t>Mahfud</t>
  </si>
  <si>
    <t>Sumirah</t>
  </si>
  <si>
    <t>Rosmiati</t>
  </si>
  <si>
    <t>Parikem</t>
  </si>
  <si>
    <t>Kasri</t>
  </si>
  <si>
    <t>Adit S</t>
  </si>
  <si>
    <t>Suwarningsih</t>
  </si>
  <si>
    <t>raudotul j</t>
  </si>
  <si>
    <t>khamim</t>
  </si>
  <si>
    <t>handoko</t>
  </si>
  <si>
    <t>Dariyun</t>
  </si>
  <si>
    <t>Ambarwati</t>
  </si>
  <si>
    <t>Tusirah</t>
  </si>
  <si>
    <t>292/1/26</t>
  </si>
  <si>
    <t>Tohirun</t>
  </si>
  <si>
    <t>Fitri</t>
  </si>
  <si>
    <t>Saehur</t>
  </si>
  <si>
    <t>Romli</t>
  </si>
  <si>
    <t>Nur khasan</t>
  </si>
  <si>
    <t>Amin S</t>
  </si>
  <si>
    <t>saniyah/siti</t>
  </si>
  <si>
    <t>Marni</t>
  </si>
  <si>
    <t>Rudianto</t>
  </si>
  <si>
    <t>Bariyah</t>
  </si>
  <si>
    <t>Siti sofiah</t>
  </si>
  <si>
    <t>Fauzin jamil</t>
  </si>
  <si>
    <t>Admin</t>
  </si>
  <si>
    <t>Satiyah</t>
  </si>
  <si>
    <t>Sodikun</t>
  </si>
  <si>
    <t>Yatinem</t>
  </si>
  <si>
    <t>Tasmin</t>
  </si>
  <si>
    <t>Satinah</t>
  </si>
  <si>
    <t>Yatin</t>
  </si>
  <si>
    <t>sarjito/ito</t>
  </si>
  <si>
    <t>Lasinah</t>
  </si>
  <si>
    <t>Joko S</t>
  </si>
  <si>
    <t>Sukamto</t>
  </si>
  <si>
    <t>Istiqomah</t>
  </si>
  <si>
    <t>Solehun</t>
  </si>
  <si>
    <t>Khomsiyah</t>
  </si>
  <si>
    <t>Siti sopiyah</t>
  </si>
  <si>
    <t>Tomi</t>
  </si>
  <si>
    <t>Taufiq</t>
  </si>
  <si>
    <t>Marfungah</t>
  </si>
  <si>
    <t>sutari</t>
  </si>
  <si>
    <t>Solihin</t>
  </si>
  <si>
    <t>Saimah</t>
  </si>
  <si>
    <t>Mustofa</t>
  </si>
  <si>
    <t>Siti munawaroh</t>
  </si>
  <si>
    <t>Umi</t>
  </si>
  <si>
    <t>Tarwin</t>
  </si>
  <si>
    <t>Siti</t>
  </si>
  <si>
    <t>Yuni/Indri</t>
  </si>
  <si>
    <t>Sakinah</t>
  </si>
  <si>
    <t>Sanem</t>
  </si>
  <si>
    <t>Mohadi</t>
  </si>
  <si>
    <t>Wahyuni</t>
  </si>
  <si>
    <t>slamet</t>
  </si>
  <si>
    <t>fatun</t>
  </si>
  <si>
    <t>sanyar</t>
  </si>
  <si>
    <t>Endang</t>
  </si>
  <si>
    <t>Endah</t>
  </si>
  <si>
    <t>Amirudin</t>
  </si>
  <si>
    <t>Samilah</t>
  </si>
  <si>
    <t>Sukami</t>
  </si>
  <si>
    <t>Misrohudin</t>
  </si>
  <si>
    <t>Sri/Iwan</t>
  </si>
  <si>
    <t>Sarimin B</t>
  </si>
  <si>
    <t>Samingun</t>
  </si>
  <si>
    <t>Sariyah</t>
  </si>
  <si>
    <t>Marjan B</t>
  </si>
  <si>
    <t>Saniyah</t>
  </si>
  <si>
    <t>Sarijan</t>
  </si>
  <si>
    <t>Kusmirah</t>
  </si>
  <si>
    <t>Sukino</t>
  </si>
  <si>
    <t>Basuki</t>
  </si>
  <si>
    <t>Kasim</t>
  </si>
  <si>
    <t>Naslam</t>
  </si>
  <si>
    <t>Sulastri</t>
  </si>
  <si>
    <t>Rizki neval</t>
  </si>
  <si>
    <t>lasinem</t>
  </si>
  <si>
    <t>tasirin</t>
  </si>
  <si>
    <t>faridatun</t>
  </si>
  <si>
    <t>gestek/sarifudin</t>
  </si>
  <si>
    <t>mustaqim</t>
  </si>
  <si>
    <t>abdul jalil</t>
  </si>
  <si>
    <t>Rohaini/suparti</t>
  </si>
  <si>
    <t>Pasiyem</t>
  </si>
  <si>
    <t>Samingan</t>
  </si>
  <si>
    <t>Ari</t>
  </si>
  <si>
    <t>Nurhayani</t>
  </si>
  <si>
    <t>Ngaminah</t>
  </si>
  <si>
    <t>Alip</t>
  </si>
  <si>
    <t>satirah</t>
  </si>
  <si>
    <t>darimin</t>
  </si>
  <si>
    <t>lasiyah</t>
  </si>
  <si>
    <t>samyo</t>
  </si>
  <si>
    <t>suwardi</t>
  </si>
  <si>
    <t>widaryanti</t>
  </si>
  <si>
    <t>nasiyah</t>
  </si>
  <si>
    <t>saliyem</t>
  </si>
  <si>
    <t>siti rowiyah</t>
  </si>
  <si>
    <t>maftuah</t>
  </si>
  <si>
    <t>tri k</t>
  </si>
  <si>
    <t>sarmini</t>
  </si>
  <si>
    <t>surami</t>
  </si>
  <si>
    <t>mustapat</t>
  </si>
  <si>
    <t>lasiman</t>
  </si>
  <si>
    <t>nuryanto</t>
  </si>
  <si>
    <t>samijan</t>
  </si>
  <si>
    <t>sapun</t>
  </si>
  <si>
    <t>sairan</t>
  </si>
  <si>
    <t>tinem</t>
  </si>
  <si>
    <t>dicky oktriadi</t>
  </si>
  <si>
    <t>saminem</t>
  </si>
  <si>
    <t>Jasem</t>
  </si>
  <si>
    <t>W Radikun</t>
  </si>
  <si>
    <t>Mustapat B</t>
  </si>
  <si>
    <t>Surami B</t>
  </si>
  <si>
    <t>Lasiman</t>
  </si>
  <si>
    <t>Sutari</t>
  </si>
  <si>
    <t>Saiman</t>
  </si>
  <si>
    <t>Tri budiono</t>
  </si>
  <si>
    <t>Ahmad rofiqun</t>
  </si>
  <si>
    <t>Yuliana</t>
  </si>
  <si>
    <t>Atun</t>
  </si>
  <si>
    <t>Ani</t>
  </si>
  <si>
    <t>Warno</t>
  </si>
  <si>
    <t>marsinem</t>
  </si>
  <si>
    <t>yuyun</t>
  </si>
  <si>
    <t>Darsiyah</t>
  </si>
  <si>
    <t>Fajar</t>
  </si>
  <si>
    <t>Khamim</t>
  </si>
  <si>
    <t>Samen</t>
  </si>
  <si>
    <t>Sri wahyuningsih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</si>
</sst>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1" applyFont="1" applyBorder="1"/>
    <xf numFmtId="164" fontId="0" fillId="0" borderId="1" xfId="0" applyNumberFormat="1" applyBorder="1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/>
    <xf numFmtId="164" fontId="1" fillId="4" borderId="1" xfId="0" applyNumberFormat="1" applyFont="1" applyFill="1" applyBorder="1"/>
    <xf numFmtId="0" fontId="1" fillId="4" borderId="1" xfId="0" applyFont="1" applyFill="1" applyBorder="1"/>
    <xf numFmtId="14" fontId="0" fillId="0" borderId="1" xfId="0" applyNumberFormat="1" applyBorder="1"/>
    <xf numFmtId="164" fontId="0" fillId="0" borderId="0" xfId="0" applyNumberFormat="1"/>
    <xf numFmtId="0" fontId="4" fillId="0" borderId="0" xfId="0" applyFont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164" fontId="3" fillId="0" borderId="20" xfId="1" applyFont="1" applyBorder="1"/>
    <xf numFmtId="164" fontId="3" fillId="0" borderId="1" xfId="0" applyNumberFormat="1" applyFont="1" applyBorder="1"/>
    <xf numFmtId="164" fontId="0" fillId="0" borderId="0" xfId="1" applyFont="1"/>
    <xf numFmtId="164" fontId="0" fillId="3" borderId="1" xfId="1" applyFont="1" applyFill="1" applyBorder="1"/>
    <xf numFmtId="164" fontId="0" fillId="3" borderId="1" xfId="0" applyNumberFormat="1" applyFill="1" applyBorder="1"/>
    <xf numFmtId="14" fontId="0" fillId="3" borderId="1" xfId="0" applyNumberFormat="1" applyFill="1" applyBorder="1"/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3" fillId="3" borderId="1" xfId="1" applyFont="1" applyFill="1" applyBorder="1"/>
    <xf numFmtId="14" fontId="0" fillId="6" borderId="1" xfId="0" applyNumberFormat="1" applyFill="1" applyBorder="1"/>
    <xf numFmtId="164" fontId="0" fillId="6" borderId="1" xfId="1" applyFont="1" applyFill="1" applyBorder="1"/>
    <xf numFmtId="164" fontId="0" fillId="6" borderId="1" xfId="0" applyNumberFormat="1" applyFill="1" applyBorder="1"/>
    <xf numFmtId="164" fontId="3" fillId="6" borderId="1" xfId="1" applyFont="1" applyFill="1" applyBorder="1"/>
    <xf numFmtId="166" fontId="0" fillId="0" borderId="1" xfId="0" applyNumberFormat="1" applyBorder="1"/>
    <xf numFmtId="166" fontId="0" fillId="0" borderId="1" xfId="2" applyNumberFormat="1" applyFont="1" applyBorder="1"/>
    <xf numFmtId="0" fontId="4" fillId="6" borderId="0" xfId="0" applyFont="1" applyFill="1" applyBorder="1"/>
    <xf numFmtId="166" fontId="0" fillId="3" borderId="1" xfId="2" applyNumberFormat="1" applyFont="1" applyFill="1" applyBorder="1"/>
    <xf numFmtId="166" fontId="0" fillId="6" borderId="1" xfId="2" applyNumberFormat="1" applyFont="1" applyFill="1" applyBorder="1"/>
    <xf numFmtId="166" fontId="3" fillId="6" borderId="1" xfId="2" applyNumberFormat="1" applyFont="1" applyFill="1" applyBorder="1"/>
    <xf numFmtId="166" fontId="3" fillId="3" borderId="1" xfId="2" applyNumberFormat="1" applyFont="1" applyFill="1" applyBorder="1"/>
    <xf numFmtId="0" fontId="0" fillId="3" borderId="27" xfId="0" applyFill="1" applyBorder="1"/>
    <xf numFmtId="3" fontId="0" fillId="3" borderId="27" xfId="0" applyNumberForma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166" fontId="0" fillId="3" borderId="27" xfId="2" applyNumberFormat="1" applyFont="1" applyFill="1" applyBorder="1"/>
    <xf numFmtId="166" fontId="3" fillId="3" borderId="27" xfId="2" applyNumberFormat="1" applyFont="1" applyFill="1" applyBorder="1"/>
    <xf numFmtId="164" fontId="0" fillId="3" borderId="27" xfId="0" applyNumberFormat="1" applyFill="1" applyBorder="1"/>
    <xf numFmtId="166" fontId="0" fillId="3" borderId="1" xfId="0" applyNumberFormat="1" applyFill="1" applyBorder="1"/>
    <xf numFmtId="3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66" fontId="0" fillId="6" borderId="1" xfId="0" applyNumberFormat="1" applyFill="1" applyBorder="1"/>
    <xf numFmtId="14" fontId="3" fillId="7" borderId="1" xfId="0" applyNumberFormat="1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164" fontId="3" fillId="7" borderId="1" xfId="1" applyFont="1" applyFill="1" applyBorder="1"/>
    <xf numFmtId="166" fontId="3" fillId="7" borderId="1" xfId="0" applyNumberFormat="1" applyFont="1" applyFill="1" applyBorder="1"/>
    <xf numFmtId="164" fontId="3" fillId="7" borderId="1" xfId="0" applyNumberFormat="1" applyFont="1" applyFill="1" applyBorder="1"/>
    <xf numFmtId="1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4" fontId="0" fillId="7" borderId="1" xfId="1" applyFont="1" applyFill="1" applyBorder="1"/>
    <xf numFmtId="166" fontId="0" fillId="7" borderId="1" xfId="0" applyNumberFormat="1" applyFill="1" applyBorder="1"/>
    <xf numFmtId="164" fontId="0" fillId="7" borderId="1" xfId="0" applyNumberFormat="1" applyFill="1" applyBorder="1"/>
    <xf numFmtId="166" fontId="0" fillId="7" borderId="1" xfId="2" applyNumberFormat="1" applyFont="1" applyFill="1" applyBorder="1"/>
    <xf numFmtId="166" fontId="3" fillId="7" borderId="1" xfId="2" applyNumberFormat="1" applyFont="1" applyFill="1" applyBorder="1"/>
    <xf numFmtId="0" fontId="1" fillId="2" borderId="23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166" fontId="3" fillId="0" borderId="1" xfId="2" applyNumberFormat="1" applyFont="1" applyBorder="1"/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75"/>
  <sheetViews>
    <sheetView tabSelected="1" topLeftCell="A164" zoomScaleNormal="100" workbookViewId="0">
      <selection activeCell="B175" sqref="B175:N175"/>
    </sheetView>
  </sheetViews>
  <sheetFormatPr defaultRowHeight="15" x14ac:dyDescent="0.25"/>
  <cols>
    <col min="2" max="2" width="10.42578125" customWidth="1"/>
    <col min="3" max="3" width="6.85546875" customWidth="1"/>
    <col min="4" max="4" width="4.140625" customWidth="1"/>
    <col min="5" max="5" width="16.5703125" customWidth="1"/>
    <col min="6" max="6" width="13.85546875" customWidth="1"/>
    <col min="7" max="7" width="12.85546875" customWidth="1"/>
    <col min="8" max="8" width="12" customWidth="1"/>
    <col min="9" max="9" width="11.5703125" customWidth="1"/>
    <col min="10" max="10" width="13.140625" customWidth="1"/>
    <col min="11" max="11" width="12.140625" customWidth="1"/>
    <col min="12" max="12" width="11.28515625" customWidth="1"/>
    <col min="13" max="13" width="12" customWidth="1"/>
    <col min="14" max="14" width="12.28515625" customWidth="1"/>
    <col min="16" max="17" width="10.5703125" bestFit="1" customWidth="1"/>
  </cols>
  <sheetData>
    <row r="1" spans="2:14" ht="21" customHeight="1" thickBot="1" x14ac:dyDescent="0.3">
      <c r="B1" s="71" t="s">
        <v>14</v>
      </c>
      <c r="C1" s="72"/>
      <c r="D1" s="72"/>
      <c r="E1" s="73"/>
      <c r="F1" s="80" t="s">
        <v>9</v>
      </c>
      <c r="G1" s="72"/>
      <c r="H1" s="72"/>
      <c r="I1" s="83" t="s">
        <v>18</v>
      </c>
      <c r="J1" s="84"/>
      <c r="K1" s="84"/>
      <c r="L1" s="84"/>
      <c r="M1" s="84"/>
      <c r="N1" s="85"/>
    </row>
    <row r="2" spans="2:14" x14ac:dyDescent="0.25">
      <c r="B2" s="74"/>
      <c r="C2" s="75"/>
      <c r="D2" s="75"/>
      <c r="E2" s="76"/>
      <c r="F2" s="81"/>
      <c r="G2" s="75"/>
      <c r="H2" s="75"/>
      <c r="I2" s="74" t="s">
        <v>10</v>
      </c>
      <c r="J2" s="75"/>
      <c r="K2" s="75"/>
      <c r="L2" s="75"/>
      <c r="M2" s="75"/>
      <c r="N2" s="86"/>
    </row>
    <row r="3" spans="2:14" ht="17.25" customHeight="1" thickBot="1" x14ac:dyDescent="0.3">
      <c r="B3" s="77"/>
      <c r="C3" s="78"/>
      <c r="D3" s="78"/>
      <c r="E3" s="79"/>
      <c r="F3" s="82"/>
      <c r="G3" s="78"/>
      <c r="H3" s="78"/>
      <c r="I3" s="77"/>
      <c r="J3" s="78"/>
      <c r="K3" s="78"/>
      <c r="L3" s="78"/>
      <c r="M3" s="78"/>
      <c r="N3" s="87"/>
    </row>
    <row r="5" spans="2:14" ht="15.75" thickBot="1" x14ac:dyDescent="0.3">
      <c r="E5" s="15" t="s">
        <v>20</v>
      </c>
      <c r="H5" s="2"/>
    </row>
    <row r="6" spans="2:14" ht="15" customHeight="1" x14ac:dyDescent="0.25">
      <c r="B6" s="65" t="s">
        <v>0</v>
      </c>
      <c r="C6" s="6" t="s">
        <v>1</v>
      </c>
      <c r="D6" s="6"/>
      <c r="E6" s="67" t="s">
        <v>4</v>
      </c>
      <c r="F6" s="67" t="s">
        <v>5</v>
      </c>
      <c r="G6" s="69" t="s">
        <v>6</v>
      </c>
      <c r="H6" s="6"/>
      <c r="I6" s="6"/>
      <c r="J6" s="6"/>
      <c r="K6" s="6"/>
      <c r="L6" s="6"/>
      <c r="M6" s="67" t="s">
        <v>7</v>
      </c>
      <c r="N6" s="63" t="s">
        <v>8</v>
      </c>
    </row>
    <row r="7" spans="2:14" ht="13.5" customHeight="1" thickBot="1" x14ac:dyDescent="0.3">
      <c r="B7" s="66"/>
      <c r="C7" s="5" t="s">
        <v>2</v>
      </c>
      <c r="D7" s="5" t="s">
        <v>3</v>
      </c>
      <c r="E7" s="68"/>
      <c r="F7" s="68"/>
      <c r="G7" s="70"/>
      <c r="H7" s="5">
        <v>7</v>
      </c>
      <c r="I7" s="5">
        <v>21</v>
      </c>
      <c r="J7" s="5">
        <v>28</v>
      </c>
      <c r="K7" s="5"/>
      <c r="L7" s="5"/>
      <c r="M7" s="68"/>
      <c r="N7" s="64"/>
    </row>
    <row r="8" spans="2:14" ht="15" customHeight="1" x14ac:dyDescent="0.25">
      <c r="B8" s="10">
        <v>45295</v>
      </c>
      <c r="C8" s="14">
        <v>638</v>
      </c>
      <c r="D8" s="14" t="s">
        <v>15</v>
      </c>
      <c r="E8" s="1" t="s">
        <v>40</v>
      </c>
      <c r="F8" s="3">
        <v>2400000</v>
      </c>
      <c r="G8" s="17">
        <v>2580000</v>
      </c>
      <c r="H8" s="3"/>
      <c r="I8" s="3"/>
      <c r="J8" s="3"/>
      <c r="K8" s="3"/>
      <c r="L8" s="3"/>
      <c r="M8" s="3">
        <f t="shared" ref="M8" si="0">SUM(H8:L8)</f>
        <v>0</v>
      </c>
      <c r="N8" s="4">
        <f t="shared" ref="N8:N10" si="1">G8-M8</f>
        <v>2580000</v>
      </c>
    </row>
    <row r="9" spans="2:14" x14ac:dyDescent="0.25">
      <c r="B9" s="10">
        <v>45316</v>
      </c>
      <c r="C9" s="14">
        <v>1073</v>
      </c>
      <c r="D9" s="14" t="s">
        <v>15</v>
      </c>
      <c r="E9" s="1" t="s">
        <v>33</v>
      </c>
      <c r="F9" s="3">
        <v>1900000</v>
      </c>
      <c r="G9" s="17">
        <v>1530000</v>
      </c>
      <c r="H9" s="3"/>
      <c r="I9" s="3"/>
      <c r="J9" s="3"/>
      <c r="K9" s="3"/>
      <c r="L9" s="3"/>
      <c r="M9" s="3">
        <f t="shared" ref="M9" si="2">SUM(H9:L9)</f>
        <v>0</v>
      </c>
      <c r="N9" s="4">
        <f t="shared" si="1"/>
        <v>1530000</v>
      </c>
    </row>
    <row r="10" spans="2:14" x14ac:dyDescent="0.25">
      <c r="B10" s="10"/>
      <c r="C10" s="14">
        <v>83</v>
      </c>
      <c r="D10" s="14" t="s">
        <v>15</v>
      </c>
      <c r="E10" s="1" t="s">
        <v>29</v>
      </c>
      <c r="F10" s="3">
        <v>2000000</v>
      </c>
      <c r="G10" s="17">
        <v>1900000</v>
      </c>
      <c r="H10" s="3"/>
      <c r="I10" s="3"/>
      <c r="J10" s="3">
        <v>100000</v>
      </c>
      <c r="K10" s="3"/>
      <c r="L10" s="3"/>
      <c r="M10" s="3">
        <f>SUM(H10:L10)</f>
        <v>100000</v>
      </c>
      <c r="N10" s="4">
        <f t="shared" si="1"/>
        <v>1800000</v>
      </c>
    </row>
    <row r="11" spans="2:14" ht="15" customHeight="1" x14ac:dyDescent="0.25">
      <c r="B11" s="10"/>
      <c r="C11" s="13">
        <v>386</v>
      </c>
      <c r="D11" s="14" t="s">
        <v>15</v>
      </c>
      <c r="E11" s="1" t="s">
        <v>36</v>
      </c>
      <c r="F11" s="3">
        <v>1000000</v>
      </c>
      <c r="G11" s="17">
        <v>1000000</v>
      </c>
      <c r="H11" s="3"/>
      <c r="I11" s="3"/>
      <c r="J11" s="3"/>
      <c r="K11" s="3"/>
      <c r="L11" s="3"/>
      <c r="M11" s="4">
        <f>SUM(H11:L11)</f>
        <v>0</v>
      </c>
      <c r="N11" s="4">
        <f t="shared" ref="N11:N14" si="3">G11-M11</f>
        <v>1000000</v>
      </c>
    </row>
    <row r="12" spans="2:14" ht="15" customHeight="1" x14ac:dyDescent="0.25">
      <c r="B12" s="10"/>
      <c r="C12" s="13">
        <v>267</v>
      </c>
      <c r="D12" s="14" t="s">
        <v>15</v>
      </c>
      <c r="E12" s="1" t="s">
        <v>39</v>
      </c>
      <c r="F12" s="3">
        <v>1500000</v>
      </c>
      <c r="G12" s="17">
        <v>1250000</v>
      </c>
      <c r="H12" s="3"/>
      <c r="I12" s="3"/>
      <c r="J12" s="3"/>
      <c r="K12" s="3"/>
      <c r="L12" s="3"/>
      <c r="M12" s="3">
        <f>SUM(H12:L12)</f>
        <v>0</v>
      </c>
      <c r="N12" s="4">
        <f t="shared" si="3"/>
        <v>1250000</v>
      </c>
    </row>
    <row r="13" spans="2:14" ht="15" customHeight="1" x14ac:dyDescent="0.25">
      <c r="B13" s="10">
        <v>45337</v>
      </c>
      <c r="C13" s="13">
        <v>1272</v>
      </c>
      <c r="D13" s="14" t="s">
        <v>15</v>
      </c>
      <c r="E13" s="1" t="s">
        <v>42</v>
      </c>
      <c r="F13" s="3">
        <v>2000000</v>
      </c>
      <c r="G13" s="17">
        <v>2050000</v>
      </c>
      <c r="H13" s="3"/>
      <c r="I13" s="3"/>
      <c r="J13" s="3"/>
      <c r="K13" s="3"/>
      <c r="L13" s="3"/>
      <c r="M13" s="3">
        <f t="shared" ref="M13:M14" si="4">SUM(H13:L13)</f>
        <v>0</v>
      </c>
      <c r="N13" s="4">
        <f t="shared" si="3"/>
        <v>2050000</v>
      </c>
    </row>
    <row r="14" spans="2:14" ht="15.75" customHeight="1" x14ac:dyDescent="0.25">
      <c r="B14" s="10">
        <v>45351</v>
      </c>
      <c r="C14" s="14">
        <v>1332</v>
      </c>
      <c r="D14" s="14" t="s">
        <v>15</v>
      </c>
      <c r="E14" s="1" t="s">
        <v>38</v>
      </c>
      <c r="F14" s="3">
        <v>1500000</v>
      </c>
      <c r="G14" s="17">
        <v>1550000</v>
      </c>
      <c r="H14" s="3"/>
      <c r="I14" s="3"/>
      <c r="J14" s="3"/>
      <c r="K14" s="1"/>
      <c r="L14" s="1"/>
      <c r="M14" s="3">
        <f t="shared" si="4"/>
        <v>0</v>
      </c>
      <c r="N14" s="4">
        <f t="shared" si="3"/>
        <v>1550000</v>
      </c>
    </row>
    <row r="15" spans="2:14" ht="15" customHeight="1" x14ac:dyDescent="0.25">
      <c r="B15" s="10">
        <v>45554</v>
      </c>
      <c r="C15" s="13">
        <v>329</v>
      </c>
      <c r="D15" s="14" t="s">
        <v>15</v>
      </c>
      <c r="E15" s="1" t="s">
        <v>47</v>
      </c>
      <c r="F15" s="3">
        <v>2000000</v>
      </c>
      <c r="G15" s="29">
        <v>2200000</v>
      </c>
      <c r="H15" s="3"/>
      <c r="I15" s="3"/>
      <c r="J15" s="3"/>
      <c r="K15" s="3"/>
      <c r="L15" s="31"/>
      <c r="M15" s="4">
        <f t="shared" ref="M15:M18" si="5">SUM(H15:L15)</f>
        <v>0</v>
      </c>
      <c r="N15" s="4">
        <f t="shared" ref="N15:N25" si="6">G15-M15</f>
        <v>2200000</v>
      </c>
    </row>
    <row r="16" spans="2:14" ht="15" customHeight="1" x14ac:dyDescent="0.25">
      <c r="B16" s="1"/>
      <c r="C16" s="13">
        <v>88</v>
      </c>
      <c r="D16" s="14" t="s">
        <v>15</v>
      </c>
      <c r="E16" s="1" t="s">
        <v>44</v>
      </c>
      <c r="F16" s="3">
        <v>5400000</v>
      </c>
      <c r="G16" s="29">
        <v>4980000</v>
      </c>
      <c r="H16" s="3"/>
      <c r="I16" s="3">
        <v>50000</v>
      </c>
      <c r="J16" s="3"/>
      <c r="K16" s="3"/>
      <c r="L16" s="31"/>
      <c r="M16" s="4">
        <f t="shared" si="5"/>
        <v>50000</v>
      </c>
      <c r="N16" s="4">
        <f t="shared" si="6"/>
        <v>4930000</v>
      </c>
    </row>
    <row r="17" spans="2:17" ht="15" customHeight="1" x14ac:dyDescent="0.25">
      <c r="B17" s="57"/>
      <c r="C17" s="56">
        <v>807</v>
      </c>
      <c r="D17" s="56" t="s">
        <v>15</v>
      </c>
      <c r="E17" s="57" t="s">
        <v>67</v>
      </c>
      <c r="F17" s="58">
        <v>2000000</v>
      </c>
      <c r="G17" s="51">
        <v>350000</v>
      </c>
      <c r="H17" s="58">
        <v>100000</v>
      </c>
      <c r="I17" s="58">
        <v>250000</v>
      </c>
      <c r="J17" s="58"/>
      <c r="K17" s="58"/>
      <c r="L17" s="61"/>
      <c r="M17" s="60">
        <f t="shared" si="5"/>
        <v>350000</v>
      </c>
      <c r="N17" s="60">
        <f t="shared" si="6"/>
        <v>0</v>
      </c>
    </row>
    <row r="18" spans="2:17" x14ac:dyDescent="0.25">
      <c r="B18" s="10">
        <v>45610</v>
      </c>
      <c r="C18" s="13">
        <v>76</v>
      </c>
      <c r="D18" s="14" t="s">
        <v>15</v>
      </c>
      <c r="E18" s="1" t="s">
        <v>72</v>
      </c>
      <c r="F18" s="3">
        <v>1000000</v>
      </c>
      <c r="G18" s="29">
        <v>710000</v>
      </c>
      <c r="H18" s="3"/>
      <c r="I18" s="3"/>
      <c r="J18" s="3"/>
      <c r="K18" s="3"/>
      <c r="L18" s="3"/>
      <c r="M18" s="30">
        <f t="shared" si="5"/>
        <v>0</v>
      </c>
      <c r="N18" s="4">
        <f t="shared" si="6"/>
        <v>710000</v>
      </c>
    </row>
    <row r="19" spans="2:17" ht="15" customHeight="1" x14ac:dyDescent="0.25">
      <c r="B19" s="10"/>
      <c r="C19" s="13">
        <v>599</v>
      </c>
      <c r="D19" s="14" t="s">
        <v>15</v>
      </c>
      <c r="E19" s="1" t="s">
        <v>73</v>
      </c>
      <c r="F19" s="3">
        <v>1000000</v>
      </c>
      <c r="G19" s="29">
        <v>1000000</v>
      </c>
      <c r="H19" s="3"/>
      <c r="I19" s="3"/>
      <c r="J19" s="3"/>
      <c r="K19" s="3"/>
      <c r="L19" s="3"/>
      <c r="M19" s="30">
        <f>SUM(J19:L19)</f>
        <v>0</v>
      </c>
      <c r="N19" s="4">
        <f t="shared" si="6"/>
        <v>1000000</v>
      </c>
    </row>
    <row r="20" spans="2:17" ht="15" customHeight="1" x14ac:dyDescent="0.25">
      <c r="B20" s="10"/>
      <c r="C20" s="13">
        <v>772</v>
      </c>
      <c r="D20" s="14" t="s">
        <v>15</v>
      </c>
      <c r="E20" s="1" t="s">
        <v>49</v>
      </c>
      <c r="F20" s="3">
        <v>2500000</v>
      </c>
      <c r="G20" s="29">
        <v>2750000</v>
      </c>
      <c r="H20" s="3"/>
      <c r="I20" s="3"/>
      <c r="J20" s="3"/>
      <c r="K20" s="3"/>
      <c r="L20" s="3"/>
      <c r="M20" s="30">
        <f t="shared" ref="M20" si="7">SUM(H20:L20)</f>
        <v>0</v>
      </c>
      <c r="N20" s="4">
        <f t="shared" si="6"/>
        <v>2750000</v>
      </c>
    </row>
    <row r="21" spans="2:17" ht="15" customHeight="1" x14ac:dyDescent="0.25">
      <c r="B21" s="10">
        <v>45631</v>
      </c>
      <c r="C21" s="13">
        <v>381</v>
      </c>
      <c r="D21" s="14" t="s">
        <v>15</v>
      </c>
      <c r="E21" s="1" t="s">
        <v>50</v>
      </c>
      <c r="F21" s="3">
        <v>1000000</v>
      </c>
      <c r="G21" s="29">
        <v>600000</v>
      </c>
      <c r="H21" s="3"/>
      <c r="I21" s="3"/>
      <c r="J21" s="3"/>
      <c r="K21" s="3"/>
      <c r="L21" s="3"/>
      <c r="M21" s="30">
        <f>SUM(H21:L21)</f>
        <v>0</v>
      </c>
      <c r="N21" s="4">
        <f t="shared" si="6"/>
        <v>600000</v>
      </c>
    </row>
    <row r="22" spans="2:17" ht="15" customHeight="1" x14ac:dyDescent="0.25">
      <c r="B22" s="10">
        <v>45652</v>
      </c>
      <c r="C22" s="14">
        <v>143</v>
      </c>
      <c r="D22" s="14" t="s">
        <v>15</v>
      </c>
      <c r="E22" s="1" t="s">
        <v>81</v>
      </c>
      <c r="F22" s="3">
        <v>1000000</v>
      </c>
      <c r="G22" s="29">
        <v>835000</v>
      </c>
      <c r="H22" s="3">
        <v>50000</v>
      </c>
      <c r="I22" s="3"/>
      <c r="J22" s="3"/>
      <c r="K22" s="3"/>
      <c r="L22" s="3"/>
      <c r="M22" s="30">
        <f>SUM(H22:L22)</f>
        <v>50000</v>
      </c>
      <c r="N22" s="4">
        <f t="shared" si="6"/>
        <v>785000</v>
      </c>
    </row>
    <row r="23" spans="2:17" x14ac:dyDescent="0.25">
      <c r="B23" s="10"/>
      <c r="C23" s="13">
        <v>5</v>
      </c>
      <c r="D23" s="14" t="s">
        <v>15</v>
      </c>
      <c r="E23" s="1" t="s">
        <v>60</v>
      </c>
      <c r="F23" s="3">
        <v>800000</v>
      </c>
      <c r="G23" s="29">
        <v>880000</v>
      </c>
      <c r="H23" s="3"/>
      <c r="I23" s="3"/>
      <c r="J23" s="3"/>
      <c r="K23" s="3"/>
      <c r="L23" s="3"/>
      <c r="M23" s="30">
        <f t="shared" ref="M23" si="8">SUM(H23:L23)</f>
        <v>0</v>
      </c>
      <c r="N23" s="4">
        <f t="shared" si="6"/>
        <v>880000</v>
      </c>
    </row>
    <row r="24" spans="2:17" ht="15" customHeight="1" x14ac:dyDescent="0.25">
      <c r="B24" s="10"/>
      <c r="C24" s="13">
        <v>434</v>
      </c>
      <c r="D24" s="14" t="s">
        <v>15</v>
      </c>
      <c r="E24" s="1" t="s">
        <v>79</v>
      </c>
      <c r="F24" s="3">
        <v>1300000</v>
      </c>
      <c r="G24" s="29">
        <v>1410000</v>
      </c>
      <c r="H24" s="3"/>
      <c r="I24" s="3"/>
      <c r="J24" s="3"/>
      <c r="K24" s="3"/>
      <c r="L24" s="3"/>
      <c r="M24" s="30">
        <f t="shared" ref="M24" si="9">SUM(H24:L24)</f>
        <v>0</v>
      </c>
      <c r="N24" s="4">
        <f t="shared" si="6"/>
        <v>1410000</v>
      </c>
    </row>
    <row r="25" spans="2:17" x14ac:dyDescent="0.25">
      <c r="B25" s="10"/>
      <c r="C25" s="14">
        <v>1034</v>
      </c>
      <c r="D25" s="14" t="s">
        <v>15</v>
      </c>
      <c r="E25" s="1" t="s">
        <v>91</v>
      </c>
      <c r="F25" s="3">
        <v>1000000</v>
      </c>
      <c r="G25" s="29">
        <v>800000</v>
      </c>
      <c r="H25" s="3"/>
      <c r="I25" s="3"/>
      <c r="J25" s="31"/>
      <c r="K25" s="3"/>
      <c r="L25" s="3"/>
      <c r="M25" s="30">
        <f>SUM(H25:L25)</f>
        <v>0</v>
      </c>
      <c r="N25" s="4">
        <f t="shared" si="6"/>
        <v>800000</v>
      </c>
    </row>
    <row r="26" spans="2:17" x14ac:dyDescent="0.25">
      <c r="B26" s="10"/>
      <c r="C26" s="14">
        <v>1144</v>
      </c>
      <c r="D26" s="14" t="s">
        <v>15</v>
      </c>
      <c r="E26" s="1" t="s">
        <v>63</v>
      </c>
      <c r="F26" s="3">
        <v>1200000</v>
      </c>
      <c r="G26" s="29">
        <v>1240000</v>
      </c>
      <c r="H26" s="3"/>
      <c r="I26" s="3"/>
      <c r="J26" s="3">
        <v>50000</v>
      </c>
      <c r="K26" s="3"/>
      <c r="L26" s="3"/>
      <c r="M26" s="30">
        <f t="shared" ref="M26:M27" si="10">SUM(H26:L26)</f>
        <v>50000</v>
      </c>
      <c r="N26" s="4">
        <f t="shared" ref="N26:N28" si="11">G26-M26</f>
        <v>1190000</v>
      </c>
      <c r="Q26" s="18"/>
    </row>
    <row r="27" spans="2:17" ht="15" customHeight="1" x14ac:dyDescent="0.25">
      <c r="B27" s="10"/>
      <c r="C27" s="14">
        <v>857</v>
      </c>
      <c r="D27" s="14" t="s">
        <v>15</v>
      </c>
      <c r="E27" s="1" t="s">
        <v>163</v>
      </c>
      <c r="F27" s="3">
        <v>3300000</v>
      </c>
      <c r="G27" s="29">
        <v>3560000</v>
      </c>
      <c r="H27" s="3"/>
      <c r="I27" s="3"/>
      <c r="J27" s="3"/>
      <c r="K27" s="3"/>
      <c r="L27" s="3"/>
      <c r="M27" s="30">
        <f t="shared" si="10"/>
        <v>0</v>
      </c>
      <c r="N27" s="4">
        <f t="shared" si="11"/>
        <v>3560000</v>
      </c>
      <c r="Q27" s="18"/>
    </row>
    <row r="28" spans="2:17" ht="15" customHeight="1" x14ac:dyDescent="0.25">
      <c r="B28" s="10">
        <v>46009</v>
      </c>
      <c r="C28" s="13">
        <v>1186</v>
      </c>
      <c r="D28" s="14" t="s">
        <v>15</v>
      </c>
      <c r="E28" s="1" t="s">
        <v>52</v>
      </c>
      <c r="F28" s="3">
        <v>1000000</v>
      </c>
      <c r="G28" s="29">
        <v>1140000</v>
      </c>
      <c r="H28" s="3"/>
      <c r="I28" s="3"/>
      <c r="J28" s="3"/>
      <c r="K28" s="3"/>
      <c r="L28" s="3"/>
      <c r="M28" s="30"/>
      <c r="N28" s="4">
        <f t="shared" si="11"/>
        <v>1140000</v>
      </c>
      <c r="Q28" s="18"/>
    </row>
    <row r="29" spans="2:17" ht="15" customHeight="1" x14ac:dyDescent="0.25">
      <c r="B29" s="21"/>
      <c r="C29" s="22"/>
      <c r="D29" s="23"/>
      <c r="E29" s="24"/>
      <c r="F29" s="19">
        <f>SUM(F8:F28)</f>
        <v>36800000</v>
      </c>
      <c r="G29" s="25">
        <f>SUM(G8:G28)</f>
        <v>34315000</v>
      </c>
      <c r="H29" s="19">
        <f t="shared" ref="H29:M29" si="12">SUM(H8:H27)</f>
        <v>150000</v>
      </c>
      <c r="I29" s="19">
        <f t="shared" si="12"/>
        <v>300000</v>
      </c>
      <c r="J29" s="19">
        <f t="shared" si="12"/>
        <v>150000</v>
      </c>
      <c r="K29" s="19">
        <f t="shared" si="12"/>
        <v>0</v>
      </c>
      <c r="L29" s="19">
        <f t="shared" si="12"/>
        <v>0</v>
      </c>
      <c r="M29" s="19">
        <f t="shared" si="12"/>
        <v>600000</v>
      </c>
      <c r="N29" s="20">
        <f t="shared" ref="N29" si="13">G29-M29</f>
        <v>33715000</v>
      </c>
      <c r="O29" s="11"/>
    </row>
    <row r="30" spans="2:17" ht="15" customHeight="1" thickBot="1" x14ac:dyDescent="0.3"/>
    <row r="31" spans="2:17" ht="14.25" customHeight="1" x14ac:dyDescent="0.25">
      <c r="B31" s="65" t="s">
        <v>0</v>
      </c>
      <c r="C31" s="6" t="s">
        <v>1</v>
      </c>
      <c r="D31" s="6"/>
      <c r="E31" s="67" t="s">
        <v>4</v>
      </c>
      <c r="F31" s="67" t="s">
        <v>5</v>
      </c>
      <c r="G31" s="69" t="s">
        <v>6</v>
      </c>
      <c r="H31" s="6"/>
      <c r="I31" s="6"/>
      <c r="J31" s="6"/>
      <c r="K31" s="6"/>
      <c r="L31" s="6"/>
      <c r="M31" s="67" t="s">
        <v>7</v>
      </c>
      <c r="N31" s="63" t="s">
        <v>8</v>
      </c>
      <c r="P31" s="18"/>
    </row>
    <row r="32" spans="2:17" ht="15" customHeight="1" thickBot="1" x14ac:dyDescent="0.3">
      <c r="B32" s="66"/>
      <c r="C32" s="5" t="s">
        <v>2</v>
      </c>
      <c r="D32" s="5" t="s">
        <v>3</v>
      </c>
      <c r="E32" s="68"/>
      <c r="F32" s="68"/>
      <c r="G32" s="70"/>
      <c r="H32" s="5">
        <v>7</v>
      </c>
      <c r="I32" s="5">
        <v>21</v>
      </c>
      <c r="J32" s="5">
        <v>28</v>
      </c>
      <c r="K32" s="5"/>
      <c r="L32" s="5"/>
      <c r="M32" s="68"/>
      <c r="N32" s="64"/>
      <c r="P32" s="18"/>
    </row>
    <row r="33" spans="2:16" ht="15" customHeight="1" x14ac:dyDescent="0.25">
      <c r="B33" s="54"/>
      <c r="C33" s="55">
        <v>851</v>
      </c>
      <c r="D33" s="56" t="s">
        <v>15</v>
      </c>
      <c r="E33" s="57" t="s">
        <v>84</v>
      </c>
      <c r="F33" s="58">
        <v>1000000</v>
      </c>
      <c r="G33" s="51">
        <v>950000</v>
      </c>
      <c r="H33" s="58">
        <v>950000</v>
      </c>
      <c r="I33" s="58"/>
      <c r="J33" s="58"/>
      <c r="K33" s="58"/>
      <c r="L33" s="58"/>
      <c r="M33" s="59">
        <f t="shared" ref="M33" si="14">SUM(H33:L33)</f>
        <v>950000</v>
      </c>
      <c r="N33" s="60">
        <f t="shared" ref="N33:N45" si="15">G33-M33</f>
        <v>0</v>
      </c>
      <c r="P33" s="11"/>
    </row>
    <row r="34" spans="2:16" ht="15" customHeight="1" x14ac:dyDescent="0.25">
      <c r="B34" s="54"/>
      <c r="C34" s="55">
        <v>503</v>
      </c>
      <c r="D34" s="56" t="s">
        <v>15</v>
      </c>
      <c r="E34" s="57" t="s">
        <v>86</v>
      </c>
      <c r="F34" s="58">
        <v>2000000</v>
      </c>
      <c r="G34" s="51">
        <v>2200000</v>
      </c>
      <c r="H34" s="58">
        <v>250000</v>
      </c>
      <c r="I34" s="58">
        <v>1950000</v>
      </c>
      <c r="J34" s="58"/>
      <c r="K34" s="58"/>
      <c r="L34" s="58"/>
      <c r="M34" s="60">
        <f>SUM(H34:L34)</f>
        <v>2200000</v>
      </c>
      <c r="N34" s="60">
        <f t="shared" si="15"/>
        <v>0</v>
      </c>
    </row>
    <row r="35" spans="2:16" ht="15" customHeight="1" x14ac:dyDescent="0.25">
      <c r="B35" s="54">
        <v>46044</v>
      </c>
      <c r="C35" s="56">
        <v>838</v>
      </c>
      <c r="D35" s="56" t="s">
        <v>15</v>
      </c>
      <c r="E35" s="57" t="s">
        <v>34</v>
      </c>
      <c r="F35" s="58">
        <v>500000</v>
      </c>
      <c r="G35" s="51">
        <v>475000</v>
      </c>
      <c r="H35" s="58"/>
      <c r="I35" s="58">
        <v>475000</v>
      </c>
      <c r="J35" s="58"/>
      <c r="K35" s="58"/>
      <c r="L35" s="58"/>
      <c r="M35" s="59">
        <f t="shared" ref="M35" si="16">SUM(H35:L35)</f>
        <v>475000</v>
      </c>
      <c r="N35" s="60">
        <f t="shared" si="15"/>
        <v>0</v>
      </c>
    </row>
    <row r="36" spans="2:16" ht="15" customHeight="1" x14ac:dyDescent="0.25">
      <c r="B36" s="10"/>
      <c r="C36" s="14">
        <v>336</v>
      </c>
      <c r="D36" s="14" t="s">
        <v>15</v>
      </c>
      <c r="E36" s="1" t="s">
        <v>100</v>
      </c>
      <c r="F36" s="3">
        <v>1800000</v>
      </c>
      <c r="G36" s="29">
        <v>1910000</v>
      </c>
      <c r="H36" s="3">
        <v>100000</v>
      </c>
      <c r="I36" s="3">
        <v>50000</v>
      </c>
      <c r="J36" s="3">
        <v>1760000</v>
      </c>
      <c r="K36" s="3"/>
      <c r="L36" s="3"/>
      <c r="M36" s="30">
        <f t="shared" ref="M36:M44" si="17">SUM(H36:L36)</f>
        <v>1910000</v>
      </c>
      <c r="N36" s="4">
        <f t="shared" si="15"/>
        <v>0</v>
      </c>
    </row>
    <row r="37" spans="2:16" x14ac:dyDescent="0.25">
      <c r="B37" s="10">
        <v>46051</v>
      </c>
      <c r="C37" s="14">
        <v>657</v>
      </c>
      <c r="D37" s="14" t="s">
        <v>15</v>
      </c>
      <c r="E37" s="1" t="s">
        <v>54</v>
      </c>
      <c r="F37" s="3">
        <v>400000</v>
      </c>
      <c r="G37" s="29">
        <v>240000</v>
      </c>
      <c r="H37" s="31">
        <v>40000</v>
      </c>
      <c r="I37" s="3">
        <v>40000</v>
      </c>
      <c r="J37" s="3">
        <v>160000</v>
      </c>
      <c r="K37" s="3"/>
      <c r="L37" s="3"/>
      <c r="M37" s="30">
        <f t="shared" si="17"/>
        <v>240000</v>
      </c>
      <c r="N37" s="4">
        <f t="shared" si="15"/>
        <v>0</v>
      </c>
    </row>
    <row r="38" spans="2:16" ht="15" customHeight="1" x14ac:dyDescent="0.25">
      <c r="B38" s="10"/>
      <c r="C38" s="14">
        <v>208</v>
      </c>
      <c r="D38" s="14" t="s">
        <v>15</v>
      </c>
      <c r="E38" s="1" t="s">
        <v>75</v>
      </c>
      <c r="F38" s="3">
        <v>500000</v>
      </c>
      <c r="G38" s="29">
        <v>355000</v>
      </c>
      <c r="H38" s="31"/>
      <c r="I38" s="3">
        <v>50000</v>
      </c>
      <c r="J38" s="3">
        <v>305000</v>
      </c>
      <c r="K38" s="3"/>
      <c r="L38" s="3"/>
      <c r="M38" s="30">
        <f t="shared" si="17"/>
        <v>355000</v>
      </c>
      <c r="N38" s="4">
        <f t="shared" si="15"/>
        <v>0</v>
      </c>
    </row>
    <row r="39" spans="2:16" x14ac:dyDescent="0.25">
      <c r="B39" s="54"/>
      <c r="C39" s="56">
        <v>969</v>
      </c>
      <c r="D39" s="56" t="s">
        <v>15</v>
      </c>
      <c r="E39" s="57" t="s">
        <v>24</v>
      </c>
      <c r="F39" s="58">
        <v>600000</v>
      </c>
      <c r="G39" s="51">
        <v>510000</v>
      </c>
      <c r="H39" s="61">
        <v>50000</v>
      </c>
      <c r="I39" s="58">
        <v>460000</v>
      </c>
      <c r="J39" s="58"/>
      <c r="K39" s="58"/>
      <c r="L39" s="58"/>
      <c r="M39" s="59">
        <f t="shared" si="17"/>
        <v>510000</v>
      </c>
      <c r="N39" s="60">
        <f t="shared" si="15"/>
        <v>0</v>
      </c>
    </row>
    <row r="40" spans="2:16" x14ac:dyDescent="0.25">
      <c r="B40" s="54"/>
      <c r="C40" s="56">
        <v>93</v>
      </c>
      <c r="D40" s="56" t="s">
        <v>16</v>
      </c>
      <c r="E40" s="57" t="s">
        <v>209</v>
      </c>
      <c r="F40" s="58">
        <v>1000000</v>
      </c>
      <c r="G40" s="51">
        <v>100000</v>
      </c>
      <c r="H40" s="61">
        <v>100000</v>
      </c>
      <c r="I40" s="58"/>
      <c r="J40" s="58"/>
      <c r="K40" s="58"/>
      <c r="L40" s="58"/>
      <c r="M40" s="59">
        <f t="shared" si="17"/>
        <v>100000</v>
      </c>
      <c r="N40" s="60">
        <f t="shared" si="15"/>
        <v>0</v>
      </c>
    </row>
    <row r="41" spans="2:16" x14ac:dyDescent="0.25">
      <c r="B41" s="10"/>
      <c r="C41" s="14">
        <v>1234</v>
      </c>
      <c r="D41" s="14" t="s">
        <v>15</v>
      </c>
      <c r="E41" s="1" t="s">
        <v>85</v>
      </c>
      <c r="F41" s="3">
        <v>1500000</v>
      </c>
      <c r="G41" s="29">
        <v>1700000</v>
      </c>
      <c r="H41" s="31"/>
      <c r="I41" s="3">
        <v>100000</v>
      </c>
      <c r="J41" s="3">
        <v>1600000</v>
      </c>
      <c r="K41" s="3"/>
      <c r="L41" s="3"/>
      <c r="M41" s="30">
        <f t="shared" si="17"/>
        <v>1700000</v>
      </c>
      <c r="N41" s="4">
        <f t="shared" si="15"/>
        <v>0</v>
      </c>
    </row>
    <row r="42" spans="2:16" ht="15" customHeight="1" x14ac:dyDescent="0.25">
      <c r="B42" s="10"/>
      <c r="C42" s="14">
        <v>135</v>
      </c>
      <c r="D42" s="14" t="s">
        <v>16</v>
      </c>
      <c r="E42" s="1" t="s">
        <v>210</v>
      </c>
      <c r="F42" s="3">
        <v>1500000</v>
      </c>
      <c r="G42" s="29">
        <v>750000</v>
      </c>
      <c r="H42" s="31">
        <v>150000</v>
      </c>
      <c r="I42" s="3">
        <v>150000</v>
      </c>
      <c r="J42" s="3">
        <v>450000</v>
      </c>
      <c r="K42" s="3"/>
      <c r="L42" s="3"/>
      <c r="M42" s="30">
        <f t="shared" si="17"/>
        <v>750000</v>
      </c>
      <c r="N42" s="4">
        <f t="shared" si="15"/>
        <v>0</v>
      </c>
    </row>
    <row r="43" spans="2:16" ht="15" customHeight="1" x14ac:dyDescent="0.25">
      <c r="B43" s="54"/>
      <c r="C43" s="56">
        <v>1016</v>
      </c>
      <c r="D43" s="56" t="s">
        <v>15</v>
      </c>
      <c r="E43" s="57" t="s">
        <v>32</v>
      </c>
      <c r="F43" s="58">
        <v>2000000</v>
      </c>
      <c r="G43" s="51">
        <v>500000</v>
      </c>
      <c r="H43" s="61">
        <v>500000</v>
      </c>
      <c r="I43" s="58"/>
      <c r="J43" s="58"/>
      <c r="K43" s="58"/>
      <c r="L43" s="58"/>
      <c r="M43" s="59">
        <f t="shared" si="17"/>
        <v>500000</v>
      </c>
      <c r="N43" s="60">
        <f t="shared" si="15"/>
        <v>0</v>
      </c>
    </row>
    <row r="44" spans="2:16" ht="15" customHeight="1" x14ac:dyDescent="0.25">
      <c r="B44" s="1"/>
      <c r="C44" s="14">
        <v>1067</v>
      </c>
      <c r="D44" s="14" t="s">
        <v>15</v>
      </c>
      <c r="E44" s="1" t="s">
        <v>101</v>
      </c>
      <c r="F44" s="3">
        <v>3000000</v>
      </c>
      <c r="G44" s="29">
        <f t="shared" ref="G44" si="18">F44*120%</f>
        <v>3600000</v>
      </c>
      <c r="H44" s="31">
        <v>100000</v>
      </c>
      <c r="I44" s="1"/>
      <c r="J44" s="1"/>
      <c r="K44" s="1"/>
      <c r="L44" s="1"/>
      <c r="M44" s="1">
        <f t="shared" si="17"/>
        <v>100000</v>
      </c>
      <c r="N44" s="4">
        <f t="shared" si="15"/>
        <v>3500000</v>
      </c>
    </row>
    <row r="45" spans="2:16" ht="15" customHeight="1" x14ac:dyDescent="0.25">
      <c r="B45" s="24"/>
      <c r="C45" s="24"/>
      <c r="D45" s="24"/>
      <c r="E45" s="24"/>
      <c r="F45" s="20">
        <f>SUM(F33:F44)</f>
        <v>15800000</v>
      </c>
      <c r="G45" s="20">
        <f>SUM(G33:G44)</f>
        <v>13290000</v>
      </c>
      <c r="H45" s="33">
        <f>SUM(H33:H44)</f>
        <v>2240000</v>
      </c>
      <c r="I45" s="33">
        <f>SUM(I33:I44)</f>
        <v>3275000</v>
      </c>
      <c r="J45" s="33">
        <f t="shared" ref="J45:M45" si="19">SUM(J35:J44)</f>
        <v>4275000</v>
      </c>
      <c r="K45" s="33">
        <f t="shared" si="19"/>
        <v>0</v>
      </c>
      <c r="L45" s="33">
        <f t="shared" si="19"/>
        <v>0</v>
      </c>
      <c r="M45" s="33">
        <f t="shared" si="19"/>
        <v>6640000</v>
      </c>
      <c r="N45" s="33">
        <f t="shared" si="15"/>
        <v>6650000</v>
      </c>
    </row>
    <row r="46" spans="2:16" ht="15" customHeight="1" thickBot="1" x14ac:dyDescent="0.3"/>
    <row r="47" spans="2:16" ht="15" customHeight="1" x14ac:dyDescent="0.25">
      <c r="B47" s="65" t="s">
        <v>0</v>
      </c>
      <c r="C47" s="6" t="s">
        <v>1</v>
      </c>
      <c r="D47" s="6"/>
      <c r="E47" s="67" t="s">
        <v>4</v>
      </c>
      <c r="F47" s="67" t="s">
        <v>5</v>
      </c>
      <c r="G47" s="69" t="s">
        <v>6</v>
      </c>
      <c r="H47" s="6"/>
      <c r="I47" s="6"/>
      <c r="J47" s="6"/>
      <c r="K47" s="6"/>
      <c r="L47" s="6"/>
      <c r="M47" s="67" t="s">
        <v>7</v>
      </c>
      <c r="N47" s="63" t="s">
        <v>8</v>
      </c>
      <c r="O47" s="11"/>
    </row>
    <row r="48" spans="2:16" ht="14.25" customHeight="1" thickBot="1" x14ac:dyDescent="0.3">
      <c r="B48" s="66"/>
      <c r="C48" s="5" t="s">
        <v>2</v>
      </c>
      <c r="D48" s="5" t="s">
        <v>3</v>
      </c>
      <c r="E48" s="68"/>
      <c r="F48" s="68"/>
      <c r="G48" s="70"/>
      <c r="H48" s="5">
        <v>7</v>
      </c>
      <c r="I48" s="5">
        <v>21</v>
      </c>
      <c r="J48" s="5">
        <v>28</v>
      </c>
      <c r="K48" s="5"/>
      <c r="L48" s="5"/>
      <c r="M48" s="68"/>
      <c r="N48" s="64"/>
    </row>
    <row r="49" spans="2:14" ht="15" customHeight="1" x14ac:dyDescent="0.25">
      <c r="B49" s="26">
        <v>46058</v>
      </c>
      <c r="C49" s="13">
        <v>1023</v>
      </c>
      <c r="D49" s="14" t="s">
        <v>15</v>
      </c>
      <c r="E49" s="1" t="s">
        <v>211</v>
      </c>
      <c r="F49" s="31">
        <v>800000</v>
      </c>
      <c r="G49" s="35">
        <v>760000</v>
      </c>
      <c r="H49" s="34">
        <v>50000</v>
      </c>
      <c r="I49" s="34">
        <v>50000</v>
      </c>
      <c r="J49" s="34">
        <v>50000</v>
      </c>
      <c r="K49" s="34"/>
      <c r="L49" s="27"/>
      <c r="M49" s="28">
        <f t="shared" ref="M49:M51" si="20">SUM(H49:L49)</f>
        <v>150000</v>
      </c>
      <c r="N49" s="28">
        <f>G49-M49</f>
        <v>610000</v>
      </c>
    </row>
    <row r="50" spans="2:14" ht="15" customHeight="1" x14ac:dyDescent="0.25">
      <c r="B50" s="10"/>
      <c r="C50" s="13">
        <v>512</v>
      </c>
      <c r="D50" s="14" t="s">
        <v>15</v>
      </c>
      <c r="E50" s="1" t="s">
        <v>162</v>
      </c>
      <c r="F50" s="31">
        <v>1000000</v>
      </c>
      <c r="G50" s="35">
        <v>950000</v>
      </c>
      <c r="H50" s="31"/>
      <c r="I50" s="31">
        <v>50000</v>
      </c>
      <c r="J50" s="31">
        <v>50000</v>
      </c>
      <c r="K50" s="31"/>
      <c r="L50" s="3"/>
      <c r="M50" s="30">
        <f t="shared" si="20"/>
        <v>100000</v>
      </c>
      <c r="N50" s="4">
        <f t="shared" ref="N50:N89" si="21">G50-M50</f>
        <v>850000</v>
      </c>
    </row>
    <row r="51" spans="2:14" ht="15" customHeight="1" x14ac:dyDescent="0.25">
      <c r="B51" s="10"/>
      <c r="C51" s="13">
        <v>884</v>
      </c>
      <c r="D51" s="14" t="s">
        <v>15</v>
      </c>
      <c r="E51" s="1" t="s">
        <v>143</v>
      </c>
      <c r="F51" s="31">
        <v>1000000</v>
      </c>
      <c r="G51" s="35">
        <v>750000</v>
      </c>
      <c r="H51" s="31">
        <v>50000</v>
      </c>
      <c r="I51" s="31">
        <v>100000</v>
      </c>
      <c r="J51" s="31">
        <v>50000</v>
      </c>
      <c r="K51" s="31"/>
      <c r="L51" s="3"/>
      <c r="M51" s="4">
        <f t="shared" si="20"/>
        <v>200000</v>
      </c>
      <c r="N51" s="4">
        <f t="shared" si="21"/>
        <v>550000</v>
      </c>
    </row>
    <row r="52" spans="2:14" ht="15" customHeight="1" x14ac:dyDescent="0.25">
      <c r="B52" s="10"/>
      <c r="C52" s="13">
        <v>20</v>
      </c>
      <c r="D52" s="14" t="s">
        <v>15</v>
      </c>
      <c r="E52" s="1" t="s">
        <v>212</v>
      </c>
      <c r="F52" s="31">
        <v>1500000</v>
      </c>
      <c r="G52" s="35">
        <v>750000</v>
      </c>
      <c r="H52" s="31">
        <v>150000</v>
      </c>
      <c r="I52" s="31">
        <v>150000</v>
      </c>
      <c r="J52" s="31"/>
      <c r="K52" s="31"/>
      <c r="L52" s="3"/>
      <c r="M52" s="3">
        <f>SUM(H52:L52)</f>
        <v>300000</v>
      </c>
      <c r="N52" s="4">
        <f t="shared" si="21"/>
        <v>450000</v>
      </c>
    </row>
    <row r="53" spans="2:14" ht="15" customHeight="1" x14ac:dyDescent="0.25">
      <c r="B53" s="10"/>
      <c r="C53" s="13">
        <v>132</v>
      </c>
      <c r="D53" s="14" t="s">
        <v>15</v>
      </c>
      <c r="E53" s="1" t="s">
        <v>76</v>
      </c>
      <c r="F53" s="31">
        <v>2000000</v>
      </c>
      <c r="G53" s="35">
        <v>1350000</v>
      </c>
      <c r="H53" s="31">
        <v>150000</v>
      </c>
      <c r="I53" s="31">
        <v>150000</v>
      </c>
      <c r="J53" s="31"/>
      <c r="K53" s="31"/>
      <c r="L53" s="3"/>
      <c r="M53" s="30">
        <f>SUM(H53:L53)</f>
        <v>300000</v>
      </c>
      <c r="N53" s="4">
        <f t="shared" si="21"/>
        <v>1050000</v>
      </c>
    </row>
    <row r="54" spans="2:14" ht="15" customHeight="1" x14ac:dyDescent="0.25">
      <c r="B54" s="54"/>
      <c r="C54" s="55">
        <v>31</v>
      </c>
      <c r="D54" s="56" t="s">
        <v>15</v>
      </c>
      <c r="E54" s="57" t="s">
        <v>213</v>
      </c>
      <c r="F54" s="61">
        <v>2000000</v>
      </c>
      <c r="G54" s="62">
        <v>1900000</v>
      </c>
      <c r="H54" s="61">
        <v>1900000</v>
      </c>
      <c r="I54" s="61"/>
      <c r="J54" s="61"/>
      <c r="K54" s="61"/>
      <c r="L54" s="58"/>
      <c r="M54" s="59">
        <f>SUM(H54:L54)</f>
        <v>1900000</v>
      </c>
      <c r="N54" s="60">
        <f t="shared" si="21"/>
        <v>0</v>
      </c>
    </row>
    <row r="55" spans="2:14" x14ac:dyDescent="0.25">
      <c r="B55" s="10">
        <v>46065</v>
      </c>
      <c r="C55" s="13">
        <v>412</v>
      </c>
      <c r="D55" s="14" t="s">
        <v>15</v>
      </c>
      <c r="E55" s="1" t="s">
        <v>222</v>
      </c>
      <c r="F55" s="31">
        <v>1000000</v>
      </c>
      <c r="G55" s="35">
        <v>1100000</v>
      </c>
      <c r="H55" s="31">
        <v>50000</v>
      </c>
      <c r="I55" s="31">
        <v>50000</v>
      </c>
      <c r="J55" s="31">
        <v>50000</v>
      </c>
      <c r="K55" s="31"/>
      <c r="L55" s="3"/>
      <c r="M55" s="30">
        <f t="shared" ref="M55" si="22">SUM(H55:L55)</f>
        <v>150000</v>
      </c>
      <c r="N55" s="4">
        <f t="shared" si="21"/>
        <v>950000</v>
      </c>
    </row>
    <row r="56" spans="2:14" ht="15" customHeight="1" x14ac:dyDescent="0.25">
      <c r="B56" s="10"/>
      <c r="C56" s="13">
        <v>735</v>
      </c>
      <c r="D56" s="14" t="s">
        <v>15</v>
      </c>
      <c r="E56" s="1" t="s">
        <v>65</v>
      </c>
      <c r="F56" s="31">
        <v>1500000</v>
      </c>
      <c r="G56" s="35">
        <v>1400000</v>
      </c>
      <c r="H56" s="31"/>
      <c r="I56" s="31"/>
      <c r="J56" s="31">
        <v>1400000</v>
      </c>
      <c r="K56" s="31"/>
      <c r="L56" s="3"/>
      <c r="M56" s="30">
        <f t="shared" ref="M56:M66" si="23">SUM(H56:L56)</f>
        <v>1400000</v>
      </c>
      <c r="N56" s="4">
        <f t="shared" si="21"/>
        <v>0</v>
      </c>
    </row>
    <row r="57" spans="2:14" ht="15" customHeight="1" x14ac:dyDescent="0.25">
      <c r="B57" s="54"/>
      <c r="C57" s="55">
        <v>463</v>
      </c>
      <c r="D57" s="56" t="s">
        <v>15</v>
      </c>
      <c r="E57" s="57" t="s">
        <v>66</v>
      </c>
      <c r="F57" s="61">
        <v>1500000</v>
      </c>
      <c r="G57" s="62">
        <v>450000</v>
      </c>
      <c r="H57" s="61">
        <v>450000</v>
      </c>
      <c r="I57" s="61"/>
      <c r="J57" s="61"/>
      <c r="K57" s="61"/>
      <c r="L57" s="58"/>
      <c r="M57" s="59">
        <f t="shared" si="23"/>
        <v>450000</v>
      </c>
      <c r="N57" s="60">
        <f t="shared" si="21"/>
        <v>0</v>
      </c>
    </row>
    <row r="58" spans="2:14" ht="15" customHeight="1" x14ac:dyDescent="0.25">
      <c r="B58" s="10"/>
      <c r="C58" s="13">
        <v>1155</v>
      </c>
      <c r="D58" s="14" t="s">
        <v>15</v>
      </c>
      <c r="E58" s="1" t="s">
        <v>122</v>
      </c>
      <c r="F58" s="31">
        <v>2000000</v>
      </c>
      <c r="G58" s="35">
        <v>2100000</v>
      </c>
      <c r="H58" s="31">
        <v>100000</v>
      </c>
      <c r="I58" s="31">
        <v>100000</v>
      </c>
      <c r="J58" s="31">
        <v>100000</v>
      </c>
      <c r="K58" s="31"/>
      <c r="L58" s="3"/>
      <c r="M58" s="30">
        <f t="shared" si="23"/>
        <v>300000</v>
      </c>
      <c r="N58" s="4">
        <f t="shared" si="21"/>
        <v>1800000</v>
      </c>
    </row>
    <row r="59" spans="2:14" x14ac:dyDescent="0.25">
      <c r="B59" s="10"/>
      <c r="C59" s="13">
        <v>228</v>
      </c>
      <c r="D59" s="14" t="s">
        <v>15</v>
      </c>
      <c r="E59" s="1" t="s">
        <v>118</v>
      </c>
      <c r="F59" s="31">
        <v>2000000</v>
      </c>
      <c r="G59" s="35">
        <v>1400000</v>
      </c>
      <c r="H59" s="31">
        <v>100000</v>
      </c>
      <c r="I59" s="31"/>
      <c r="J59" s="31">
        <v>1300000</v>
      </c>
      <c r="K59" s="31"/>
      <c r="L59" s="3"/>
      <c r="M59" s="30">
        <f t="shared" si="23"/>
        <v>1400000</v>
      </c>
      <c r="N59" s="4">
        <f t="shared" si="21"/>
        <v>0</v>
      </c>
    </row>
    <row r="60" spans="2:14" ht="15" customHeight="1" x14ac:dyDescent="0.25">
      <c r="B60" s="10"/>
      <c r="C60" s="13">
        <v>411</v>
      </c>
      <c r="D60" s="14" t="s">
        <v>15</v>
      </c>
      <c r="E60" s="1" t="s">
        <v>140</v>
      </c>
      <c r="F60" s="31">
        <v>2500000</v>
      </c>
      <c r="G60" s="35">
        <v>1100000</v>
      </c>
      <c r="H60" s="31">
        <v>200000</v>
      </c>
      <c r="I60" s="31">
        <v>250000</v>
      </c>
      <c r="J60" s="31">
        <v>250000</v>
      </c>
      <c r="K60" s="31"/>
      <c r="L60" s="3"/>
      <c r="M60" s="30">
        <f t="shared" si="23"/>
        <v>700000</v>
      </c>
      <c r="N60" s="4">
        <f t="shared" si="21"/>
        <v>400000</v>
      </c>
    </row>
    <row r="61" spans="2:14" ht="15" customHeight="1" x14ac:dyDescent="0.25">
      <c r="B61" s="10"/>
      <c r="C61" s="13">
        <v>480</v>
      </c>
      <c r="D61" s="14" t="s">
        <v>15</v>
      </c>
      <c r="E61" s="1" t="s">
        <v>64</v>
      </c>
      <c r="F61" s="31">
        <v>2500000</v>
      </c>
      <c r="G61" s="35">
        <v>2650000</v>
      </c>
      <c r="H61" s="31"/>
      <c r="I61" s="31">
        <v>100000</v>
      </c>
      <c r="J61" s="31"/>
      <c r="K61" s="31"/>
      <c r="L61" s="31"/>
      <c r="M61" s="31">
        <f t="shared" si="23"/>
        <v>100000</v>
      </c>
      <c r="N61" s="4">
        <f t="shared" si="21"/>
        <v>2550000</v>
      </c>
    </row>
    <row r="62" spans="2:14" ht="15" customHeight="1" x14ac:dyDescent="0.25">
      <c r="B62" s="57"/>
      <c r="C62" s="55">
        <v>95</v>
      </c>
      <c r="D62" s="56" t="s">
        <v>15</v>
      </c>
      <c r="E62" s="57" t="s">
        <v>179</v>
      </c>
      <c r="F62" s="61">
        <v>2500000</v>
      </c>
      <c r="G62" s="62">
        <v>750000</v>
      </c>
      <c r="H62" s="61">
        <v>750000</v>
      </c>
      <c r="I62" s="61"/>
      <c r="J62" s="61"/>
      <c r="K62" s="61"/>
      <c r="L62" s="61"/>
      <c r="M62" s="61">
        <f t="shared" si="23"/>
        <v>750000</v>
      </c>
      <c r="N62" s="60">
        <f t="shared" si="21"/>
        <v>0</v>
      </c>
    </row>
    <row r="63" spans="2:14" ht="15" customHeight="1" x14ac:dyDescent="0.25">
      <c r="B63" s="10">
        <v>46072</v>
      </c>
      <c r="C63" s="13">
        <v>663</v>
      </c>
      <c r="D63" s="14" t="s">
        <v>15</v>
      </c>
      <c r="E63" s="1" t="s">
        <v>58</v>
      </c>
      <c r="F63" s="31">
        <v>900000</v>
      </c>
      <c r="G63" s="35">
        <v>980000</v>
      </c>
      <c r="H63" s="31">
        <v>50000</v>
      </c>
      <c r="I63" s="31">
        <v>50000</v>
      </c>
      <c r="J63" s="31">
        <v>50000</v>
      </c>
      <c r="K63" s="31"/>
      <c r="L63" s="31"/>
      <c r="M63" s="31">
        <f t="shared" si="23"/>
        <v>150000</v>
      </c>
      <c r="N63" s="4">
        <f t="shared" si="21"/>
        <v>830000</v>
      </c>
    </row>
    <row r="64" spans="2:14" x14ac:dyDescent="0.25">
      <c r="B64" s="57"/>
      <c r="C64" s="55">
        <v>961</v>
      </c>
      <c r="D64" s="56" t="s">
        <v>16</v>
      </c>
      <c r="E64" s="57" t="s">
        <v>226</v>
      </c>
      <c r="F64" s="61">
        <v>1000000</v>
      </c>
      <c r="G64" s="62">
        <v>700000</v>
      </c>
      <c r="H64" s="61"/>
      <c r="I64" s="61">
        <v>700000</v>
      </c>
      <c r="J64" s="61"/>
      <c r="K64" s="61"/>
      <c r="L64" s="61"/>
      <c r="M64" s="61">
        <f t="shared" si="23"/>
        <v>700000</v>
      </c>
      <c r="N64" s="60">
        <f t="shared" si="21"/>
        <v>0</v>
      </c>
    </row>
    <row r="65" spans="2:14" x14ac:dyDescent="0.25">
      <c r="B65" s="57"/>
      <c r="C65" s="55">
        <v>606</v>
      </c>
      <c r="D65" s="56" t="s">
        <v>15</v>
      </c>
      <c r="E65" s="57" t="s">
        <v>51</v>
      </c>
      <c r="F65" s="61">
        <v>1200000</v>
      </c>
      <c r="G65" s="62">
        <v>1040000</v>
      </c>
      <c r="H65" s="61">
        <v>1040000</v>
      </c>
      <c r="I65" s="61"/>
      <c r="J65" s="61"/>
      <c r="K65" s="61"/>
      <c r="L65" s="61"/>
      <c r="M65" s="61">
        <f t="shared" si="23"/>
        <v>1040000</v>
      </c>
      <c r="N65" s="60">
        <f t="shared" si="21"/>
        <v>0</v>
      </c>
    </row>
    <row r="66" spans="2:14" ht="15" customHeight="1" x14ac:dyDescent="0.25">
      <c r="B66" s="57"/>
      <c r="C66" s="55">
        <v>457</v>
      </c>
      <c r="D66" s="56" t="s">
        <v>15</v>
      </c>
      <c r="E66" s="57" t="s">
        <v>227</v>
      </c>
      <c r="F66" s="61">
        <v>2000000</v>
      </c>
      <c r="G66" s="62">
        <v>1000000</v>
      </c>
      <c r="H66" s="61">
        <v>1000000</v>
      </c>
      <c r="I66" s="61"/>
      <c r="J66" s="61"/>
      <c r="K66" s="61"/>
      <c r="L66" s="61"/>
      <c r="M66" s="61">
        <f t="shared" si="23"/>
        <v>1000000</v>
      </c>
      <c r="N66" s="60">
        <f t="shared" si="21"/>
        <v>0</v>
      </c>
    </row>
    <row r="67" spans="2:14" ht="15" customHeight="1" x14ac:dyDescent="0.25">
      <c r="B67" s="24"/>
      <c r="C67" s="22"/>
      <c r="D67" s="23"/>
      <c r="E67" s="24"/>
      <c r="F67" s="33">
        <f t="shared" ref="F67:M67" si="24">SUM(F49:F66)</f>
        <v>28900000</v>
      </c>
      <c r="G67" s="36">
        <f t="shared" si="24"/>
        <v>21130000</v>
      </c>
      <c r="H67" s="33">
        <f t="shared" si="24"/>
        <v>6040000</v>
      </c>
      <c r="I67" s="33">
        <f t="shared" si="24"/>
        <v>1750000</v>
      </c>
      <c r="J67" s="33">
        <f t="shared" si="24"/>
        <v>3300000</v>
      </c>
      <c r="K67" s="33">
        <f t="shared" si="24"/>
        <v>0</v>
      </c>
      <c r="L67" s="33">
        <f t="shared" si="24"/>
        <v>0</v>
      </c>
      <c r="M67" s="33">
        <f t="shared" si="24"/>
        <v>11090000</v>
      </c>
      <c r="N67" s="20">
        <f t="shared" si="21"/>
        <v>10040000</v>
      </c>
    </row>
    <row r="68" spans="2:14" ht="15" customHeight="1" x14ac:dyDescent="0.25">
      <c r="B68" s="10">
        <v>46079</v>
      </c>
      <c r="C68" s="14">
        <v>947</v>
      </c>
      <c r="D68" s="14" t="s">
        <v>15</v>
      </c>
      <c r="E68" s="1" t="s">
        <v>117</v>
      </c>
      <c r="F68" s="3">
        <v>300000</v>
      </c>
      <c r="G68" s="29">
        <v>180000</v>
      </c>
      <c r="H68" s="31">
        <v>30000</v>
      </c>
      <c r="I68" s="31">
        <v>30000</v>
      </c>
      <c r="J68" s="31">
        <v>30000</v>
      </c>
      <c r="K68" s="31"/>
      <c r="L68" s="31"/>
      <c r="M68" s="30">
        <f>SUM(H68:L68)</f>
        <v>90000</v>
      </c>
      <c r="N68" s="4">
        <f t="shared" si="21"/>
        <v>90000</v>
      </c>
    </row>
    <row r="69" spans="2:14" ht="15" customHeight="1" x14ac:dyDescent="0.25">
      <c r="B69" s="1"/>
      <c r="C69" s="14">
        <v>684</v>
      </c>
      <c r="D69" s="14" t="s">
        <v>15</v>
      </c>
      <c r="E69" s="1" t="s">
        <v>120</v>
      </c>
      <c r="F69" s="3">
        <v>400000</v>
      </c>
      <c r="G69" s="29">
        <v>440000</v>
      </c>
      <c r="H69" s="31"/>
      <c r="I69" s="31"/>
      <c r="J69" s="31"/>
      <c r="K69" s="31"/>
      <c r="L69" s="31"/>
      <c r="M69" s="30">
        <f>SUM(H69:L69)</f>
        <v>0</v>
      </c>
      <c r="N69" s="4">
        <f t="shared" si="21"/>
        <v>440000</v>
      </c>
    </row>
    <row r="70" spans="2:14" x14ac:dyDescent="0.25">
      <c r="B70" s="57"/>
      <c r="C70" s="56">
        <v>624</v>
      </c>
      <c r="D70" s="56" t="s">
        <v>15</v>
      </c>
      <c r="E70" s="57" t="s">
        <v>178</v>
      </c>
      <c r="F70" s="58">
        <v>500000</v>
      </c>
      <c r="G70" s="51">
        <v>490000</v>
      </c>
      <c r="H70" s="61">
        <v>50000</v>
      </c>
      <c r="I70" s="61">
        <v>440000</v>
      </c>
      <c r="J70" s="61"/>
      <c r="K70" s="61"/>
      <c r="L70" s="61"/>
      <c r="M70" s="59">
        <f>SUM(H70:L70)</f>
        <v>490000</v>
      </c>
      <c r="N70" s="60">
        <f t="shared" si="21"/>
        <v>0</v>
      </c>
    </row>
    <row r="71" spans="2:14" ht="15" customHeight="1" x14ac:dyDescent="0.25">
      <c r="B71" s="1"/>
      <c r="C71" s="14">
        <v>190</v>
      </c>
      <c r="D71" s="14" t="s">
        <v>16</v>
      </c>
      <c r="E71" s="1" t="s">
        <v>94</v>
      </c>
      <c r="F71" s="3">
        <v>500000</v>
      </c>
      <c r="G71" s="29">
        <v>350000</v>
      </c>
      <c r="H71" s="31">
        <v>50000</v>
      </c>
      <c r="I71" s="31">
        <v>50000</v>
      </c>
      <c r="J71" s="31"/>
      <c r="K71" s="31"/>
      <c r="L71" s="31"/>
      <c r="M71" s="30">
        <f>SUM(I71:L71)</f>
        <v>50000</v>
      </c>
      <c r="N71" s="4">
        <f t="shared" si="21"/>
        <v>300000</v>
      </c>
    </row>
    <row r="72" spans="2:14" x14ac:dyDescent="0.25">
      <c r="B72" s="1"/>
      <c r="C72" s="14">
        <v>53</v>
      </c>
      <c r="D72" s="14" t="s">
        <v>15</v>
      </c>
      <c r="E72" s="1" t="s">
        <v>232</v>
      </c>
      <c r="F72" s="3">
        <v>800000</v>
      </c>
      <c r="G72" s="29">
        <v>910000</v>
      </c>
      <c r="H72" s="31"/>
      <c r="I72" s="31"/>
      <c r="J72" s="31"/>
      <c r="K72" s="31"/>
      <c r="L72" s="31"/>
      <c r="M72" s="30">
        <f t="shared" ref="M72:M77" si="25">SUM(H72:L72)</f>
        <v>0</v>
      </c>
      <c r="N72" s="4">
        <f t="shared" si="21"/>
        <v>910000</v>
      </c>
    </row>
    <row r="73" spans="2:14" ht="15" customHeight="1" x14ac:dyDescent="0.25">
      <c r="B73" s="1"/>
      <c r="C73" s="14">
        <v>804</v>
      </c>
      <c r="D73" s="14" t="s">
        <v>15</v>
      </c>
      <c r="E73" s="1" t="s">
        <v>130</v>
      </c>
      <c r="F73" s="3">
        <v>1000000</v>
      </c>
      <c r="G73" s="29">
        <v>1050000</v>
      </c>
      <c r="H73" s="31"/>
      <c r="I73" s="31">
        <v>100000</v>
      </c>
      <c r="J73" s="31">
        <v>50000</v>
      </c>
      <c r="K73" s="31"/>
      <c r="L73" s="31"/>
      <c r="M73" s="30">
        <f t="shared" si="25"/>
        <v>150000</v>
      </c>
      <c r="N73" s="4">
        <f t="shared" si="21"/>
        <v>900000</v>
      </c>
    </row>
    <row r="74" spans="2:14" x14ac:dyDescent="0.25">
      <c r="B74" s="1"/>
      <c r="C74" s="14">
        <v>821</v>
      </c>
      <c r="D74" s="14" t="s">
        <v>15</v>
      </c>
      <c r="E74" s="1" t="s">
        <v>233</v>
      </c>
      <c r="F74" s="3">
        <v>1000000</v>
      </c>
      <c r="G74" s="29">
        <v>1000000</v>
      </c>
      <c r="H74" s="31"/>
      <c r="I74" s="31"/>
      <c r="J74" s="31">
        <v>50000</v>
      </c>
      <c r="K74" s="31"/>
      <c r="L74" s="31"/>
      <c r="M74" s="30">
        <f t="shared" si="25"/>
        <v>50000</v>
      </c>
      <c r="N74" s="4">
        <f t="shared" si="21"/>
        <v>950000</v>
      </c>
    </row>
    <row r="75" spans="2:14" x14ac:dyDescent="0.25">
      <c r="B75" s="57"/>
      <c r="C75" s="56">
        <v>901</v>
      </c>
      <c r="D75" s="56" t="s">
        <v>15</v>
      </c>
      <c r="E75" s="57" t="s">
        <v>234</v>
      </c>
      <c r="F75" s="58">
        <v>1300000</v>
      </c>
      <c r="G75" s="51">
        <v>1260000</v>
      </c>
      <c r="H75" s="61">
        <v>100000</v>
      </c>
      <c r="I75" s="61">
        <v>1160000</v>
      </c>
      <c r="J75" s="61"/>
      <c r="K75" s="61"/>
      <c r="L75" s="61"/>
      <c r="M75" s="59">
        <f t="shared" si="25"/>
        <v>1260000</v>
      </c>
      <c r="N75" s="60">
        <f t="shared" si="21"/>
        <v>0</v>
      </c>
    </row>
    <row r="76" spans="2:14" ht="15" customHeight="1" x14ac:dyDescent="0.25">
      <c r="B76" s="1"/>
      <c r="C76" s="14">
        <v>1267</v>
      </c>
      <c r="D76" s="14" t="s">
        <v>15</v>
      </c>
      <c r="E76" s="1" t="s">
        <v>235</v>
      </c>
      <c r="F76" s="3">
        <v>1500000</v>
      </c>
      <c r="G76" s="29">
        <v>1050000</v>
      </c>
      <c r="H76" s="31"/>
      <c r="I76" s="31">
        <v>200000</v>
      </c>
      <c r="J76" s="31">
        <v>850000</v>
      </c>
      <c r="K76" s="31"/>
      <c r="L76" s="31"/>
      <c r="M76" s="30">
        <f t="shared" si="25"/>
        <v>1050000</v>
      </c>
      <c r="N76" s="4">
        <f t="shared" si="21"/>
        <v>0</v>
      </c>
    </row>
    <row r="77" spans="2:14" x14ac:dyDescent="0.25">
      <c r="B77" s="1"/>
      <c r="C77" s="14">
        <v>231</v>
      </c>
      <c r="D77" s="14" t="s">
        <v>15</v>
      </c>
      <c r="E77" s="1" t="s">
        <v>104</v>
      </c>
      <c r="F77" s="3">
        <v>1500000</v>
      </c>
      <c r="G77" s="29">
        <v>1600000</v>
      </c>
      <c r="H77" s="31">
        <v>50000</v>
      </c>
      <c r="I77" s="31">
        <v>50000</v>
      </c>
      <c r="J77" s="31">
        <v>50000</v>
      </c>
      <c r="K77" s="31"/>
      <c r="L77" s="31"/>
      <c r="M77" s="30">
        <f t="shared" si="25"/>
        <v>150000</v>
      </c>
      <c r="N77" s="4">
        <f t="shared" si="21"/>
        <v>1450000</v>
      </c>
    </row>
    <row r="78" spans="2:14" ht="15" customHeight="1" x14ac:dyDescent="0.25">
      <c r="B78" s="1"/>
      <c r="C78" s="14">
        <v>514</v>
      </c>
      <c r="D78" s="14" t="s">
        <v>15</v>
      </c>
      <c r="E78" s="1" t="s">
        <v>97</v>
      </c>
      <c r="F78" s="3">
        <v>2000000</v>
      </c>
      <c r="G78" s="29">
        <f t="shared" ref="G78:G88" si="26">F78*120%</f>
        <v>2400000</v>
      </c>
      <c r="H78" s="31"/>
      <c r="I78" s="31"/>
      <c r="J78" s="31"/>
      <c r="K78" s="31"/>
      <c r="L78" s="31"/>
      <c r="M78" s="1"/>
      <c r="N78" s="4">
        <f t="shared" si="21"/>
        <v>2400000</v>
      </c>
    </row>
    <row r="79" spans="2:14" x14ac:dyDescent="0.25">
      <c r="B79" s="1"/>
      <c r="C79" s="14">
        <v>880</v>
      </c>
      <c r="D79" s="14" t="s">
        <v>15</v>
      </c>
      <c r="E79" s="1" t="s">
        <v>90</v>
      </c>
      <c r="F79" s="3">
        <v>2000000</v>
      </c>
      <c r="G79" s="29">
        <v>1400000</v>
      </c>
      <c r="H79" s="31"/>
      <c r="I79" s="31">
        <v>300000</v>
      </c>
      <c r="J79" s="31">
        <v>100000</v>
      </c>
      <c r="K79" s="31"/>
      <c r="L79" s="31"/>
      <c r="M79" s="30">
        <f t="shared" ref="M79:M87" si="27">SUM(H79:L79)</f>
        <v>400000</v>
      </c>
      <c r="N79" s="4">
        <f t="shared" si="21"/>
        <v>1000000</v>
      </c>
    </row>
    <row r="80" spans="2:14" ht="15" customHeight="1" x14ac:dyDescent="0.25">
      <c r="B80" s="1"/>
      <c r="C80" s="14">
        <v>322</v>
      </c>
      <c r="D80" s="14" t="s">
        <v>15</v>
      </c>
      <c r="E80" s="1" t="s">
        <v>236</v>
      </c>
      <c r="F80" s="3">
        <v>2000000</v>
      </c>
      <c r="G80" s="29">
        <v>2200000</v>
      </c>
      <c r="H80" s="31"/>
      <c r="I80" s="31">
        <v>100000</v>
      </c>
      <c r="J80" s="31">
        <v>2100000</v>
      </c>
      <c r="K80" s="31"/>
      <c r="L80" s="31"/>
      <c r="M80" s="30">
        <f t="shared" si="27"/>
        <v>2200000</v>
      </c>
      <c r="N80" s="4">
        <f t="shared" si="21"/>
        <v>0</v>
      </c>
    </row>
    <row r="81" spans="2:14" ht="15" customHeight="1" x14ac:dyDescent="0.25">
      <c r="B81" s="57"/>
      <c r="C81" s="56">
        <v>161</v>
      </c>
      <c r="D81" s="56" t="s">
        <v>15</v>
      </c>
      <c r="E81" s="57" t="s">
        <v>30</v>
      </c>
      <c r="F81" s="58">
        <v>2000000</v>
      </c>
      <c r="G81" s="51">
        <v>1800000</v>
      </c>
      <c r="H81" s="61">
        <v>300000</v>
      </c>
      <c r="I81" s="61">
        <v>1500000</v>
      </c>
      <c r="J81" s="61"/>
      <c r="K81" s="61"/>
      <c r="L81" s="61"/>
      <c r="M81" s="59">
        <f t="shared" si="27"/>
        <v>1800000</v>
      </c>
      <c r="N81" s="60">
        <f t="shared" si="21"/>
        <v>0</v>
      </c>
    </row>
    <row r="82" spans="2:14" ht="15" customHeight="1" x14ac:dyDescent="0.25">
      <c r="B82" s="1"/>
      <c r="C82" s="14">
        <v>1043</v>
      </c>
      <c r="D82" s="14" t="s">
        <v>15</v>
      </c>
      <c r="E82" s="1" t="s">
        <v>48</v>
      </c>
      <c r="F82" s="3">
        <v>2000000</v>
      </c>
      <c r="G82" s="29">
        <v>1660000</v>
      </c>
      <c r="H82" s="31">
        <v>140000</v>
      </c>
      <c r="I82" s="31">
        <v>150000</v>
      </c>
      <c r="J82" s="31">
        <v>1370000</v>
      </c>
      <c r="K82" s="31"/>
      <c r="L82" s="31"/>
      <c r="M82" s="30">
        <f t="shared" si="27"/>
        <v>1660000</v>
      </c>
      <c r="N82" s="4">
        <f t="shared" si="21"/>
        <v>0</v>
      </c>
    </row>
    <row r="83" spans="2:14" ht="15" customHeight="1" x14ac:dyDescent="0.25">
      <c r="B83" s="1"/>
      <c r="C83" s="14">
        <v>19</v>
      </c>
      <c r="D83" s="14" t="s">
        <v>15</v>
      </c>
      <c r="E83" s="1" t="s">
        <v>119</v>
      </c>
      <c r="F83" s="3">
        <v>2500000</v>
      </c>
      <c r="G83" s="29">
        <v>1250000</v>
      </c>
      <c r="H83" s="31">
        <v>250000</v>
      </c>
      <c r="I83" s="31">
        <v>250000</v>
      </c>
      <c r="J83" s="31">
        <v>250000</v>
      </c>
      <c r="K83" s="31"/>
      <c r="L83" s="31"/>
      <c r="M83" s="30">
        <f t="shared" si="27"/>
        <v>750000</v>
      </c>
      <c r="N83" s="4">
        <f t="shared" si="21"/>
        <v>500000</v>
      </c>
    </row>
    <row r="84" spans="2:14" ht="15" customHeight="1" x14ac:dyDescent="0.25">
      <c r="B84" s="1"/>
      <c r="C84" s="14">
        <v>605</v>
      </c>
      <c r="D84" s="14" t="s">
        <v>15</v>
      </c>
      <c r="E84" s="1" t="s">
        <v>237</v>
      </c>
      <c r="F84" s="3">
        <v>2500000</v>
      </c>
      <c r="G84" s="29">
        <v>2600000</v>
      </c>
      <c r="H84" s="31">
        <v>100000</v>
      </c>
      <c r="I84" s="31">
        <v>100000</v>
      </c>
      <c r="J84" s="31"/>
      <c r="K84" s="31"/>
      <c r="L84" s="31"/>
      <c r="M84" s="30">
        <f t="shared" si="27"/>
        <v>200000</v>
      </c>
      <c r="N84" s="4">
        <f t="shared" si="21"/>
        <v>2400000</v>
      </c>
    </row>
    <row r="85" spans="2:14" x14ac:dyDescent="0.25">
      <c r="B85" s="57"/>
      <c r="C85" s="56">
        <v>951</v>
      </c>
      <c r="D85" s="56" t="s">
        <v>15</v>
      </c>
      <c r="E85" s="57" t="s">
        <v>182</v>
      </c>
      <c r="F85" s="58">
        <v>2800000</v>
      </c>
      <c r="G85" s="51">
        <v>2660000</v>
      </c>
      <c r="H85" s="61">
        <v>100000</v>
      </c>
      <c r="I85" s="61">
        <v>2560000</v>
      </c>
      <c r="J85" s="61"/>
      <c r="K85" s="61"/>
      <c r="L85" s="61"/>
      <c r="M85" s="59">
        <f t="shared" si="27"/>
        <v>2660000</v>
      </c>
      <c r="N85" s="60">
        <f t="shared" si="21"/>
        <v>0</v>
      </c>
    </row>
    <row r="86" spans="2:14" ht="14.25" customHeight="1" x14ac:dyDescent="0.25">
      <c r="B86" s="1"/>
      <c r="C86" s="14">
        <v>1085</v>
      </c>
      <c r="D86" s="14" t="s">
        <v>15</v>
      </c>
      <c r="E86" s="1" t="s">
        <v>61</v>
      </c>
      <c r="F86" s="3">
        <v>3000000</v>
      </c>
      <c r="G86" s="29">
        <v>3500000</v>
      </c>
      <c r="H86" s="31"/>
      <c r="I86" s="31"/>
      <c r="J86" s="31">
        <v>50000</v>
      </c>
      <c r="K86" s="31"/>
      <c r="L86" s="31"/>
      <c r="M86" s="30">
        <f t="shared" si="27"/>
        <v>50000</v>
      </c>
      <c r="N86" s="4">
        <f t="shared" si="21"/>
        <v>3450000</v>
      </c>
    </row>
    <row r="87" spans="2:14" ht="15" customHeight="1" x14ac:dyDescent="0.25">
      <c r="B87" s="57"/>
      <c r="C87" s="56">
        <v>1115</v>
      </c>
      <c r="D87" s="56" t="s">
        <v>15</v>
      </c>
      <c r="E87" s="57" t="s">
        <v>169</v>
      </c>
      <c r="F87" s="58">
        <v>3500000</v>
      </c>
      <c r="G87" s="51">
        <v>2700000</v>
      </c>
      <c r="H87" s="61"/>
      <c r="I87" s="61">
        <v>2700000</v>
      </c>
      <c r="J87" s="61"/>
      <c r="K87" s="61"/>
      <c r="L87" s="61"/>
      <c r="M87" s="59">
        <f t="shared" si="27"/>
        <v>2700000</v>
      </c>
      <c r="N87" s="60">
        <f t="shared" si="21"/>
        <v>0</v>
      </c>
    </row>
    <row r="88" spans="2:14" x14ac:dyDescent="0.25">
      <c r="B88" s="1"/>
      <c r="C88" s="14">
        <v>253</v>
      </c>
      <c r="D88" s="14" t="s">
        <v>16</v>
      </c>
      <c r="E88" s="1" t="s">
        <v>238</v>
      </c>
      <c r="F88" s="3">
        <v>4500000</v>
      </c>
      <c r="G88" s="29">
        <f t="shared" si="26"/>
        <v>5400000</v>
      </c>
      <c r="H88" s="31"/>
      <c r="I88" s="31"/>
      <c r="J88" s="31"/>
      <c r="K88" s="31"/>
      <c r="L88" s="31"/>
      <c r="M88" s="1"/>
      <c r="N88" s="4">
        <f t="shared" si="21"/>
        <v>5400000</v>
      </c>
    </row>
    <row r="89" spans="2:14" ht="15" customHeight="1" x14ac:dyDescent="0.25">
      <c r="B89" s="33"/>
      <c r="C89" s="33"/>
      <c r="D89" s="33"/>
      <c r="E89" s="33"/>
      <c r="F89" s="33">
        <f>SUM(F68:F88)</f>
        <v>37600000</v>
      </c>
      <c r="G89" s="33">
        <f>SUM(G68:G88)</f>
        <v>35900000</v>
      </c>
      <c r="H89" s="33">
        <f>SUM(H68:H88)</f>
        <v>1170000</v>
      </c>
      <c r="I89" s="33">
        <f t="shared" ref="I89:M89" si="28">SUM(I68:I88)</f>
        <v>9690000</v>
      </c>
      <c r="J89" s="33">
        <f t="shared" si="28"/>
        <v>4900000</v>
      </c>
      <c r="K89" s="33">
        <f t="shared" si="28"/>
        <v>0</v>
      </c>
      <c r="L89" s="33">
        <f t="shared" si="28"/>
        <v>0</v>
      </c>
      <c r="M89" s="33">
        <f t="shared" si="28"/>
        <v>15710000</v>
      </c>
      <c r="N89" s="33">
        <f t="shared" si="21"/>
        <v>20190000</v>
      </c>
    </row>
    <row r="90" spans="2:14" ht="15" customHeight="1" thickBot="1" x14ac:dyDescent="0.3"/>
    <row r="91" spans="2:14" ht="15" customHeight="1" x14ac:dyDescent="0.25">
      <c r="B91" s="65" t="s">
        <v>0</v>
      </c>
      <c r="C91" s="6" t="s">
        <v>1</v>
      </c>
      <c r="D91" s="6"/>
      <c r="E91" s="67" t="s">
        <v>4</v>
      </c>
      <c r="F91" s="67" t="s">
        <v>5</v>
      </c>
      <c r="G91" s="69" t="s">
        <v>6</v>
      </c>
      <c r="H91" s="6"/>
      <c r="I91" s="6"/>
      <c r="J91" s="6"/>
      <c r="K91" s="6"/>
      <c r="L91" s="6"/>
      <c r="M91" s="67" t="s">
        <v>7</v>
      </c>
      <c r="N91" s="63" t="s">
        <v>8</v>
      </c>
    </row>
    <row r="92" spans="2:14" ht="15" customHeight="1" thickBot="1" x14ac:dyDescent="0.3">
      <c r="B92" s="66"/>
      <c r="C92" s="5" t="s">
        <v>2</v>
      </c>
      <c r="D92" s="5" t="s">
        <v>3</v>
      </c>
      <c r="E92" s="68"/>
      <c r="F92" s="68"/>
      <c r="G92" s="70"/>
      <c r="H92" s="5">
        <v>7</v>
      </c>
      <c r="I92" s="5">
        <v>21</v>
      </c>
      <c r="J92" s="5">
        <v>28</v>
      </c>
      <c r="K92" s="5"/>
      <c r="L92" s="5"/>
      <c r="M92" s="68"/>
      <c r="N92" s="64"/>
    </row>
    <row r="93" spans="2:14" x14ac:dyDescent="0.25">
      <c r="B93" s="26">
        <v>46086</v>
      </c>
      <c r="C93" s="13">
        <v>647</v>
      </c>
      <c r="D93" s="14" t="s">
        <v>16</v>
      </c>
      <c r="E93" s="1" t="s">
        <v>240</v>
      </c>
      <c r="F93" s="3">
        <v>500000</v>
      </c>
      <c r="G93" s="35">
        <v>250000</v>
      </c>
      <c r="H93" s="34">
        <v>50000</v>
      </c>
      <c r="I93" s="34">
        <v>50000</v>
      </c>
      <c r="J93" s="34">
        <v>50000</v>
      </c>
      <c r="K93" s="34"/>
      <c r="L93" s="27"/>
      <c r="M93" s="28">
        <f t="shared" ref="M93:M95" si="29">SUM(H93:L93)</f>
        <v>150000</v>
      </c>
      <c r="N93" s="28">
        <f>G93-M93</f>
        <v>100000</v>
      </c>
    </row>
    <row r="94" spans="2:14" ht="15" customHeight="1" x14ac:dyDescent="0.25">
      <c r="B94" s="10"/>
      <c r="C94" s="13">
        <v>13</v>
      </c>
      <c r="D94" s="14" t="s">
        <v>15</v>
      </c>
      <c r="E94" s="1" t="s">
        <v>241</v>
      </c>
      <c r="F94" s="3">
        <v>500000</v>
      </c>
      <c r="G94" s="35">
        <v>550000</v>
      </c>
      <c r="H94" s="31"/>
      <c r="I94" s="31">
        <v>100000</v>
      </c>
      <c r="J94" s="31"/>
      <c r="K94" s="31"/>
      <c r="L94" s="3"/>
      <c r="M94" s="30">
        <f t="shared" si="29"/>
        <v>100000</v>
      </c>
      <c r="N94" s="4">
        <f t="shared" ref="N94:N110" si="30">G94-M94</f>
        <v>450000</v>
      </c>
    </row>
    <row r="95" spans="2:14" x14ac:dyDescent="0.25">
      <c r="B95" s="10"/>
      <c r="C95" s="13">
        <v>289</v>
      </c>
      <c r="D95" s="14" t="s">
        <v>15</v>
      </c>
      <c r="E95" s="1" t="s">
        <v>242</v>
      </c>
      <c r="F95" s="3">
        <v>1000000</v>
      </c>
      <c r="G95" s="35">
        <v>700000</v>
      </c>
      <c r="H95" s="31">
        <v>100000</v>
      </c>
      <c r="I95" s="31">
        <v>100000</v>
      </c>
      <c r="J95" s="31">
        <v>100000</v>
      </c>
      <c r="K95" s="31"/>
      <c r="L95" s="3"/>
      <c r="M95" s="4">
        <f t="shared" si="29"/>
        <v>300000</v>
      </c>
      <c r="N95" s="4">
        <f t="shared" si="30"/>
        <v>400000</v>
      </c>
    </row>
    <row r="96" spans="2:14" ht="16.5" customHeight="1" x14ac:dyDescent="0.25">
      <c r="B96" s="10"/>
      <c r="C96" s="13">
        <v>589</v>
      </c>
      <c r="D96" s="14" t="s">
        <v>15</v>
      </c>
      <c r="E96" s="1" t="s">
        <v>243</v>
      </c>
      <c r="F96" s="3">
        <v>1500000</v>
      </c>
      <c r="G96" s="35">
        <v>1350000</v>
      </c>
      <c r="H96" s="31"/>
      <c r="I96" s="31">
        <v>150000</v>
      </c>
      <c r="J96" s="31"/>
      <c r="K96" s="31"/>
      <c r="L96" s="3"/>
      <c r="M96" s="3">
        <f t="shared" ref="M96:M101" si="31">SUM(H96:L96)</f>
        <v>150000</v>
      </c>
      <c r="N96" s="4">
        <f t="shared" si="30"/>
        <v>1200000</v>
      </c>
    </row>
    <row r="97" spans="2:14" ht="15" customHeight="1" x14ac:dyDescent="0.25">
      <c r="B97" s="10"/>
      <c r="C97" s="13">
        <v>1146</v>
      </c>
      <c r="D97" s="14" t="s">
        <v>15</v>
      </c>
      <c r="E97" s="1" t="s">
        <v>41</v>
      </c>
      <c r="F97" s="3">
        <v>3000000</v>
      </c>
      <c r="G97" s="35">
        <v>3250000</v>
      </c>
      <c r="H97" s="31"/>
      <c r="I97" s="31">
        <v>100000</v>
      </c>
      <c r="J97" s="31"/>
      <c r="K97" s="31"/>
      <c r="L97" s="3"/>
      <c r="M97" s="4">
        <f t="shared" si="31"/>
        <v>100000</v>
      </c>
      <c r="N97" s="4">
        <f t="shared" si="30"/>
        <v>3150000</v>
      </c>
    </row>
    <row r="98" spans="2:14" ht="15" customHeight="1" x14ac:dyDescent="0.25">
      <c r="B98" s="10"/>
      <c r="C98" s="13">
        <v>256</v>
      </c>
      <c r="D98" s="14" t="s">
        <v>15</v>
      </c>
      <c r="E98" s="1" t="s">
        <v>244</v>
      </c>
      <c r="F98" s="3">
        <v>3400000</v>
      </c>
      <c r="G98" s="35">
        <v>3930000</v>
      </c>
      <c r="H98" s="31">
        <v>100000</v>
      </c>
      <c r="I98" s="31">
        <v>100000</v>
      </c>
      <c r="J98" s="31">
        <v>100000</v>
      </c>
      <c r="K98" s="31"/>
      <c r="L98" s="3"/>
      <c r="M98" s="30">
        <f t="shared" si="31"/>
        <v>300000</v>
      </c>
      <c r="N98" s="4">
        <f t="shared" si="30"/>
        <v>3630000</v>
      </c>
    </row>
    <row r="99" spans="2:14" ht="15" customHeight="1" x14ac:dyDescent="0.25">
      <c r="B99" s="10">
        <v>46090</v>
      </c>
      <c r="C99" s="13">
        <v>1199</v>
      </c>
      <c r="D99" s="14" t="s">
        <v>16</v>
      </c>
      <c r="E99" s="1" t="s">
        <v>254</v>
      </c>
      <c r="F99" s="31">
        <v>2000000</v>
      </c>
      <c r="G99" s="35">
        <v>1600000</v>
      </c>
      <c r="H99" s="31"/>
      <c r="I99" s="31"/>
      <c r="J99" s="31">
        <v>200000</v>
      </c>
      <c r="K99" s="31"/>
      <c r="L99" s="3"/>
      <c r="M99" s="30">
        <f t="shared" si="31"/>
        <v>200000</v>
      </c>
      <c r="N99" s="4">
        <f t="shared" si="30"/>
        <v>1400000</v>
      </c>
    </row>
    <row r="100" spans="2:14" ht="15" customHeight="1" x14ac:dyDescent="0.25">
      <c r="B100" s="10"/>
      <c r="C100" s="13">
        <v>955</v>
      </c>
      <c r="D100" s="14" t="s">
        <v>15</v>
      </c>
      <c r="E100" s="1" t="s">
        <v>256</v>
      </c>
      <c r="F100" s="3">
        <v>500000</v>
      </c>
      <c r="G100" s="35">
        <v>500000</v>
      </c>
      <c r="H100" s="31"/>
      <c r="I100" s="31">
        <v>50000</v>
      </c>
      <c r="J100" s="31"/>
      <c r="K100" s="31"/>
      <c r="L100" s="3"/>
      <c r="M100" s="30">
        <f t="shared" si="31"/>
        <v>50000</v>
      </c>
      <c r="N100" s="4">
        <f t="shared" si="30"/>
        <v>450000</v>
      </c>
    </row>
    <row r="101" spans="2:14" x14ac:dyDescent="0.25">
      <c r="B101" s="10"/>
      <c r="C101" s="13">
        <v>1222</v>
      </c>
      <c r="D101" s="14" t="s">
        <v>15</v>
      </c>
      <c r="E101" s="1" t="s">
        <v>95</v>
      </c>
      <c r="F101" s="3">
        <v>500000</v>
      </c>
      <c r="G101" s="35">
        <f t="shared" ref="G101" si="32">F101*120%</f>
        <v>600000</v>
      </c>
      <c r="H101" s="31"/>
      <c r="I101" s="31">
        <v>50000</v>
      </c>
      <c r="J101" s="31">
        <v>50000</v>
      </c>
      <c r="K101" s="31"/>
      <c r="L101" s="3"/>
      <c r="M101" s="30">
        <f t="shared" si="31"/>
        <v>100000</v>
      </c>
      <c r="N101" s="4">
        <f t="shared" si="30"/>
        <v>500000</v>
      </c>
    </row>
    <row r="102" spans="2:14" ht="15" customHeight="1" x14ac:dyDescent="0.25">
      <c r="B102" s="10"/>
      <c r="C102" s="13">
        <v>192</v>
      </c>
      <c r="D102" s="14" t="s">
        <v>15</v>
      </c>
      <c r="E102" s="1" t="s">
        <v>257</v>
      </c>
      <c r="F102" s="3">
        <v>600000</v>
      </c>
      <c r="G102" s="35">
        <v>690000</v>
      </c>
      <c r="H102" s="31"/>
      <c r="I102" s="31"/>
      <c r="J102" s="31"/>
      <c r="K102" s="31"/>
      <c r="L102" s="3"/>
      <c r="M102" s="30">
        <f>SUM(J102:L102)</f>
        <v>0</v>
      </c>
      <c r="N102" s="4">
        <f t="shared" si="30"/>
        <v>690000</v>
      </c>
    </row>
    <row r="103" spans="2:14" ht="16.5" customHeight="1" x14ac:dyDescent="0.25">
      <c r="B103" s="10"/>
      <c r="C103" s="13">
        <v>1216</v>
      </c>
      <c r="D103" s="14" t="s">
        <v>15</v>
      </c>
      <c r="E103" s="1" t="s">
        <v>80</v>
      </c>
      <c r="F103" s="3">
        <v>800000</v>
      </c>
      <c r="G103" s="35">
        <v>910000</v>
      </c>
      <c r="H103" s="31"/>
      <c r="I103" s="31"/>
      <c r="J103" s="31">
        <v>40000</v>
      </c>
      <c r="K103" s="31"/>
      <c r="L103" s="3"/>
      <c r="M103" s="30">
        <f t="shared" ref="M103:M109" si="33">SUM(H103:L103)</f>
        <v>40000</v>
      </c>
      <c r="N103" s="4">
        <f t="shared" si="30"/>
        <v>870000</v>
      </c>
    </row>
    <row r="104" spans="2:14" ht="16.5" customHeight="1" x14ac:dyDescent="0.25">
      <c r="B104" s="10"/>
      <c r="C104" s="13">
        <v>245</v>
      </c>
      <c r="D104" s="14" t="s">
        <v>15</v>
      </c>
      <c r="E104" s="1" t="s">
        <v>132</v>
      </c>
      <c r="F104" s="3">
        <v>1000000</v>
      </c>
      <c r="G104" s="35">
        <v>1100000</v>
      </c>
      <c r="H104" s="31">
        <v>50000</v>
      </c>
      <c r="I104" s="31">
        <v>50000</v>
      </c>
      <c r="J104" s="31"/>
      <c r="K104" s="31"/>
      <c r="L104" s="3"/>
      <c r="M104" s="30">
        <f t="shared" si="33"/>
        <v>100000</v>
      </c>
      <c r="N104" s="4">
        <f t="shared" si="30"/>
        <v>1000000</v>
      </c>
    </row>
    <row r="105" spans="2:14" ht="15" customHeight="1" x14ac:dyDescent="0.25">
      <c r="B105" s="10"/>
      <c r="C105" s="13">
        <v>787</v>
      </c>
      <c r="D105" s="14" t="s">
        <v>15</v>
      </c>
      <c r="E105" s="1" t="s">
        <v>116</v>
      </c>
      <c r="F105" s="3">
        <v>1000000</v>
      </c>
      <c r="G105" s="35">
        <v>700000</v>
      </c>
      <c r="H105" s="31">
        <v>100000</v>
      </c>
      <c r="I105" s="31">
        <v>100000</v>
      </c>
      <c r="J105" s="31">
        <v>100000</v>
      </c>
      <c r="K105" s="31"/>
      <c r="L105" s="3"/>
      <c r="M105" s="30">
        <f t="shared" si="33"/>
        <v>300000</v>
      </c>
      <c r="N105" s="4">
        <f t="shared" si="30"/>
        <v>400000</v>
      </c>
    </row>
    <row r="106" spans="2:14" ht="15" customHeight="1" x14ac:dyDescent="0.25">
      <c r="B106" s="10"/>
      <c r="C106" s="13">
        <v>650</v>
      </c>
      <c r="D106" s="14" t="s">
        <v>15</v>
      </c>
      <c r="E106" s="1" t="s">
        <v>134</v>
      </c>
      <c r="F106" s="3">
        <v>1000000</v>
      </c>
      <c r="G106" s="35">
        <v>1150000</v>
      </c>
      <c r="H106" s="31"/>
      <c r="I106" s="31"/>
      <c r="J106" s="31"/>
      <c r="K106" s="31"/>
      <c r="L106" s="3"/>
      <c r="M106" s="30">
        <f t="shared" si="33"/>
        <v>0</v>
      </c>
      <c r="N106" s="4">
        <f t="shared" si="30"/>
        <v>1150000</v>
      </c>
    </row>
    <row r="107" spans="2:14" ht="15" customHeight="1" x14ac:dyDescent="0.25">
      <c r="B107" s="1"/>
      <c r="C107" s="13">
        <v>1151</v>
      </c>
      <c r="D107" s="14" t="s">
        <v>15</v>
      </c>
      <c r="E107" s="1" t="s">
        <v>258</v>
      </c>
      <c r="F107" s="3">
        <v>1000000</v>
      </c>
      <c r="G107" s="35">
        <v>1150000</v>
      </c>
      <c r="H107" s="31"/>
      <c r="I107" s="31"/>
      <c r="J107" s="31"/>
      <c r="K107" s="31"/>
      <c r="L107" s="1"/>
      <c r="M107" s="30">
        <f t="shared" si="33"/>
        <v>0</v>
      </c>
      <c r="N107" s="4">
        <f t="shared" si="30"/>
        <v>1150000</v>
      </c>
    </row>
    <row r="108" spans="2:14" ht="15" customHeight="1" x14ac:dyDescent="0.25">
      <c r="B108" s="10"/>
      <c r="C108" s="13">
        <v>899</v>
      </c>
      <c r="D108" s="14" t="s">
        <v>15</v>
      </c>
      <c r="E108" s="1" t="s">
        <v>259</v>
      </c>
      <c r="F108" s="3">
        <v>1500000</v>
      </c>
      <c r="G108" s="35">
        <v>1500000</v>
      </c>
      <c r="H108" s="31"/>
      <c r="I108" s="31">
        <v>150000</v>
      </c>
      <c r="J108" s="31"/>
      <c r="K108" s="31"/>
      <c r="L108" s="1"/>
      <c r="M108" s="30">
        <f t="shared" si="33"/>
        <v>150000</v>
      </c>
      <c r="N108" s="4">
        <f t="shared" si="30"/>
        <v>1350000</v>
      </c>
    </row>
    <row r="109" spans="2:14" ht="15" customHeight="1" x14ac:dyDescent="0.25">
      <c r="B109" s="1"/>
      <c r="C109" s="13">
        <v>100</v>
      </c>
      <c r="D109" s="14" t="s">
        <v>15</v>
      </c>
      <c r="E109" s="1" t="s">
        <v>194</v>
      </c>
      <c r="F109" s="3">
        <v>3000000</v>
      </c>
      <c r="G109" s="35">
        <v>2100000</v>
      </c>
      <c r="H109" s="31">
        <v>300000</v>
      </c>
      <c r="I109" s="31">
        <v>300000</v>
      </c>
      <c r="J109" s="31"/>
      <c r="K109" s="31"/>
      <c r="L109" s="1"/>
      <c r="M109" s="30">
        <f t="shared" si="33"/>
        <v>600000</v>
      </c>
      <c r="N109" s="4">
        <f t="shared" si="30"/>
        <v>1500000</v>
      </c>
    </row>
    <row r="110" spans="2:14" ht="15" customHeight="1" x14ac:dyDescent="0.25">
      <c r="B110" s="24"/>
      <c r="C110" s="22"/>
      <c r="D110" s="23"/>
      <c r="E110" s="24"/>
      <c r="F110" s="33">
        <f t="shared" ref="F110:M110" si="34">SUM(F93:F109)</f>
        <v>22800000</v>
      </c>
      <c r="G110" s="36">
        <f t="shared" si="34"/>
        <v>22030000</v>
      </c>
      <c r="H110" s="33">
        <f t="shared" si="34"/>
        <v>700000</v>
      </c>
      <c r="I110" s="33">
        <f t="shared" si="34"/>
        <v>1300000</v>
      </c>
      <c r="J110" s="33">
        <f t="shared" si="34"/>
        <v>640000</v>
      </c>
      <c r="K110" s="33">
        <f t="shared" si="34"/>
        <v>0</v>
      </c>
      <c r="L110" s="33">
        <f t="shared" si="34"/>
        <v>0</v>
      </c>
      <c r="M110" s="33">
        <f t="shared" si="34"/>
        <v>2640000</v>
      </c>
      <c r="N110" s="20">
        <f t="shared" si="30"/>
        <v>19390000</v>
      </c>
    </row>
    <row r="111" spans="2:14" ht="15.75" thickBot="1" x14ac:dyDescent="0.3"/>
    <row r="112" spans="2:14" ht="15" customHeight="1" x14ac:dyDescent="0.25">
      <c r="B112" s="65" t="s">
        <v>0</v>
      </c>
      <c r="C112" s="6" t="s">
        <v>1</v>
      </c>
      <c r="D112" s="6"/>
      <c r="E112" s="67" t="s">
        <v>4</v>
      </c>
      <c r="F112" s="67" t="s">
        <v>5</v>
      </c>
      <c r="G112" s="69" t="s">
        <v>6</v>
      </c>
      <c r="H112" s="6"/>
      <c r="I112" s="6"/>
      <c r="J112" s="6"/>
      <c r="K112" s="6"/>
      <c r="L112" s="6"/>
      <c r="M112" s="67" t="s">
        <v>7</v>
      </c>
      <c r="N112" s="63" t="s">
        <v>8</v>
      </c>
    </row>
    <row r="113" spans="2:14" ht="15" customHeight="1" thickBot="1" x14ac:dyDescent="0.3">
      <c r="B113" s="66"/>
      <c r="C113" s="5" t="s">
        <v>2</v>
      </c>
      <c r="D113" s="5" t="s">
        <v>3</v>
      </c>
      <c r="E113" s="68"/>
      <c r="F113" s="68"/>
      <c r="G113" s="70"/>
      <c r="H113" s="5">
        <v>7</v>
      </c>
      <c r="I113" s="5">
        <v>21</v>
      </c>
      <c r="J113" s="5">
        <v>28</v>
      </c>
      <c r="K113" s="5"/>
      <c r="L113" s="5"/>
      <c r="M113" s="68"/>
      <c r="N113" s="64"/>
    </row>
    <row r="114" spans="2:14" ht="15" customHeight="1" x14ac:dyDescent="0.25">
      <c r="B114" s="26">
        <v>46114</v>
      </c>
      <c r="C114" s="13">
        <v>788</v>
      </c>
      <c r="D114" s="14" t="s">
        <v>15</v>
      </c>
      <c r="E114" s="1" t="s">
        <v>181</v>
      </c>
      <c r="F114" s="3">
        <v>1000000</v>
      </c>
      <c r="G114" s="35">
        <v>1150000</v>
      </c>
      <c r="H114" s="34">
        <v>50000</v>
      </c>
      <c r="I114" s="34"/>
      <c r="J114" s="34"/>
      <c r="K114" s="34"/>
      <c r="L114" s="27"/>
      <c r="M114" s="28">
        <f t="shared" ref="M114:M116" si="35">SUM(H114:L114)</f>
        <v>50000</v>
      </c>
      <c r="N114" s="28">
        <f>G114-M114</f>
        <v>1100000</v>
      </c>
    </row>
    <row r="115" spans="2:14" ht="15" customHeight="1" x14ac:dyDescent="0.25">
      <c r="B115" s="10">
        <v>46121</v>
      </c>
      <c r="C115" s="13">
        <v>362</v>
      </c>
      <c r="D115" s="14" t="s">
        <v>15</v>
      </c>
      <c r="E115" s="1" t="s">
        <v>183</v>
      </c>
      <c r="F115" s="3">
        <v>500000</v>
      </c>
      <c r="G115" s="35">
        <v>495000</v>
      </c>
      <c r="H115" s="31"/>
      <c r="I115" s="31">
        <v>50000</v>
      </c>
      <c r="J115" s="31"/>
      <c r="K115" s="31"/>
      <c r="L115" s="3"/>
      <c r="M115" s="30">
        <f t="shared" si="35"/>
        <v>50000</v>
      </c>
      <c r="N115" s="4">
        <f t="shared" ref="N115:N132" si="36">G115-M115</f>
        <v>445000</v>
      </c>
    </row>
    <row r="116" spans="2:14" x14ac:dyDescent="0.25">
      <c r="B116" s="10"/>
      <c r="C116" s="13">
        <v>1070</v>
      </c>
      <c r="D116" s="14" t="s">
        <v>15</v>
      </c>
      <c r="E116" s="1" t="s">
        <v>161</v>
      </c>
      <c r="F116" s="3">
        <v>500000</v>
      </c>
      <c r="G116" s="35">
        <v>520000</v>
      </c>
      <c r="H116" s="31">
        <v>50000</v>
      </c>
      <c r="I116" s="31">
        <v>40000</v>
      </c>
      <c r="J116" s="31"/>
      <c r="K116" s="31"/>
      <c r="L116" s="3"/>
      <c r="M116" s="4">
        <f t="shared" si="35"/>
        <v>90000</v>
      </c>
      <c r="N116" s="4">
        <f t="shared" si="36"/>
        <v>430000</v>
      </c>
    </row>
    <row r="117" spans="2:14" x14ac:dyDescent="0.25">
      <c r="B117" s="10"/>
      <c r="C117" s="13">
        <v>742</v>
      </c>
      <c r="D117" s="14" t="s">
        <v>15</v>
      </c>
      <c r="E117" s="1" t="s">
        <v>273</v>
      </c>
      <c r="F117" s="3">
        <v>800000</v>
      </c>
      <c r="G117" s="35">
        <v>910000</v>
      </c>
      <c r="H117" s="31"/>
      <c r="I117" s="31"/>
      <c r="J117" s="31">
        <v>40000</v>
      </c>
      <c r="K117" s="31"/>
      <c r="L117" s="3"/>
      <c r="M117" s="3">
        <f>SUM(H117:L117)</f>
        <v>40000</v>
      </c>
      <c r="N117" s="4">
        <f t="shared" si="36"/>
        <v>870000</v>
      </c>
    </row>
    <row r="118" spans="2:14" ht="15" customHeight="1" x14ac:dyDescent="0.25">
      <c r="B118" s="10"/>
      <c r="C118" s="13">
        <v>1187</v>
      </c>
      <c r="D118" s="14" t="s">
        <v>15</v>
      </c>
      <c r="E118" s="1" t="s">
        <v>126</v>
      </c>
      <c r="F118" s="3">
        <v>1000000</v>
      </c>
      <c r="G118" s="35">
        <v>1000000</v>
      </c>
      <c r="H118" s="31">
        <v>100000</v>
      </c>
      <c r="I118" s="31">
        <v>100000</v>
      </c>
      <c r="J118" s="31">
        <v>100000</v>
      </c>
      <c r="K118" s="31"/>
      <c r="L118" s="3"/>
      <c r="M118" s="4">
        <f>SUM(H118:L118)</f>
        <v>300000</v>
      </c>
      <c r="N118" s="4">
        <f t="shared" si="36"/>
        <v>700000</v>
      </c>
    </row>
    <row r="119" spans="2:14" ht="15" customHeight="1" x14ac:dyDescent="0.25">
      <c r="B119" s="10"/>
      <c r="C119" s="13">
        <v>753</v>
      </c>
      <c r="D119" s="14" t="s">
        <v>16</v>
      </c>
      <c r="E119" s="1" t="s">
        <v>274</v>
      </c>
      <c r="F119" s="3">
        <v>1000000</v>
      </c>
      <c r="G119" s="35">
        <v>900000</v>
      </c>
      <c r="H119" s="31"/>
      <c r="I119" s="31">
        <v>100000</v>
      </c>
      <c r="J119" s="31"/>
      <c r="K119" s="31"/>
      <c r="L119" s="3"/>
      <c r="M119" s="30">
        <f>SUM(H119:L119)</f>
        <v>100000</v>
      </c>
      <c r="N119" s="4">
        <f t="shared" si="36"/>
        <v>800000</v>
      </c>
    </row>
    <row r="120" spans="2:14" ht="15" customHeight="1" x14ac:dyDescent="0.25">
      <c r="B120" s="10"/>
      <c r="C120" s="13">
        <v>74</v>
      </c>
      <c r="D120" s="14" t="s">
        <v>15</v>
      </c>
      <c r="E120" s="1" t="s">
        <v>154</v>
      </c>
      <c r="F120" s="3">
        <v>2000000</v>
      </c>
      <c r="G120" s="35">
        <v>2050000</v>
      </c>
      <c r="H120" s="31">
        <v>200000</v>
      </c>
      <c r="I120" s="31">
        <v>200000</v>
      </c>
      <c r="J120" s="31"/>
      <c r="K120" s="31"/>
      <c r="L120" s="3"/>
      <c r="M120" s="30">
        <f>SUM(H120:L120)</f>
        <v>400000</v>
      </c>
      <c r="N120" s="4">
        <f t="shared" si="36"/>
        <v>1650000</v>
      </c>
    </row>
    <row r="121" spans="2:14" x14ac:dyDescent="0.25">
      <c r="B121" s="10"/>
      <c r="C121" s="13">
        <v>716</v>
      </c>
      <c r="D121" s="14" t="s">
        <v>15</v>
      </c>
      <c r="E121" s="1" t="s">
        <v>89</v>
      </c>
      <c r="F121" s="3">
        <v>2000000</v>
      </c>
      <c r="G121" s="35">
        <v>2300000</v>
      </c>
      <c r="H121" s="31">
        <v>100000</v>
      </c>
      <c r="I121" s="31"/>
      <c r="J121" s="31">
        <v>100000</v>
      </c>
      <c r="K121" s="31"/>
      <c r="L121" s="3"/>
      <c r="M121" s="30">
        <f t="shared" ref="M121" si="37">SUM(H121:L121)</f>
        <v>200000</v>
      </c>
      <c r="N121" s="4">
        <f t="shared" si="36"/>
        <v>2100000</v>
      </c>
    </row>
    <row r="122" spans="2:14" ht="15" customHeight="1" x14ac:dyDescent="0.25">
      <c r="B122" s="10">
        <v>46128</v>
      </c>
      <c r="C122" s="13">
        <v>669</v>
      </c>
      <c r="D122" s="14" t="s">
        <v>15</v>
      </c>
      <c r="E122" s="1" t="s">
        <v>275</v>
      </c>
      <c r="F122" s="31">
        <v>400000</v>
      </c>
      <c r="G122" s="35">
        <f t="shared" ref="G122:G140" si="38">F122*120%</f>
        <v>480000</v>
      </c>
      <c r="H122" s="31">
        <v>50000</v>
      </c>
      <c r="I122" s="31"/>
      <c r="J122" s="31"/>
      <c r="K122" s="31"/>
      <c r="L122" s="3"/>
      <c r="M122" s="30">
        <f t="shared" ref="M122:M132" si="39">SUM(H122:L122)</f>
        <v>50000</v>
      </c>
      <c r="N122" s="4">
        <f t="shared" si="36"/>
        <v>430000</v>
      </c>
    </row>
    <row r="123" spans="2:14" ht="15" customHeight="1" x14ac:dyDescent="0.25">
      <c r="B123" s="10"/>
      <c r="C123" s="13">
        <v>487</v>
      </c>
      <c r="D123" s="14" t="s">
        <v>15</v>
      </c>
      <c r="E123" s="1" t="s">
        <v>276</v>
      </c>
      <c r="F123" s="31">
        <v>600000</v>
      </c>
      <c r="G123" s="35">
        <f t="shared" si="38"/>
        <v>720000</v>
      </c>
      <c r="H123" s="31">
        <v>30000</v>
      </c>
      <c r="I123" s="31"/>
      <c r="J123" s="31">
        <v>30000</v>
      </c>
      <c r="K123" s="31"/>
      <c r="L123" s="3"/>
      <c r="M123" s="30">
        <f t="shared" si="39"/>
        <v>60000</v>
      </c>
      <c r="N123" s="4">
        <f t="shared" si="36"/>
        <v>660000</v>
      </c>
    </row>
    <row r="124" spans="2:14" x14ac:dyDescent="0.25">
      <c r="B124" s="10"/>
      <c r="C124" s="13">
        <v>906</v>
      </c>
      <c r="D124" s="14" t="s">
        <v>15</v>
      </c>
      <c r="E124" s="1" t="s">
        <v>277</v>
      </c>
      <c r="F124" s="31">
        <v>1000000</v>
      </c>
      <c r="G124" s="35">
        <f t="shared" si="38"/>
        <v>1200000</v>
      </c>
      <c r="H124" s="31"/>
      <c r="I124" s="31"/>
      <c r="J124" s="31"/>
      <c r="K124" s="31"/>
      <c r="L124" s="3"/>
      <c r="M124" s="30">
        <f t="shared" si="39"/>
        <v>0</v>
      </c>
      <c r="N124" s="4">
        <f t="shared" si="36"/>
        <v>1200000</v>
      </c>
    </row>
    <row r="125" spans="2:14" x14ac:dyDescent="0.25">
      <c r="B125" s="54"/>
      <c r="C125" s="55">
        <v>666</v>
      </c>
      <c r="D125" s="56" t="s">
        <v>15</v>
      </c>
      <c r="E125" s="57" t="s">
        <v>176</v>
      </c>
      <c r="F125" s="61">
        <v>1000000</v>
      </c>
      <c r="G125" s="62">
        <v>1100000</v>
      </c>
      <c r="H125" s="61"/>
      <c r="I125" s="61">
        <v>1100000</v>
      </c>
      <c r="J125" s="61"/>
      <c r="K125" s="61"/>
      <c r="L125" s="58"/>
      <c r="M125" s="59">
        <f t="shared" si="39"/>
        <v>1100000</v>
      </c>
      <c r="N125" s="60">
        <f t="shared" si="36"/>
        <v>0</v>
      </c>
    </row>
    <row r="126" spans="2:14" x14ac:dyDescent="0.25">
      <c r="B126" s="10"/>
      <c r="C126" s="13">
        <v>84</v>
      </c>
      <c r="D126" s="14" t="s">
        <v>15</v>
      </c>
      <c r="E126" s="1" t="s">
        <v>278</v>
      </c>
      <c r="F126" s="31">
        <v>2500000</v>
      </c>
      <c r="G126" s="35">
        <v>2900000</v>
      </c>
      <c r="H126" s="31">
        <v>100000</v>
      </c>
      <c r="I126" s="31"/>
      <c r="J126" s="31"/>
      <c r="K126" s="31"/>
      <c r="L126" s="3"/>
      <c r="M126" s="30">
        <f t="shared" si="39"/>
        <v>100000</v>
      </c>
      <c r="N126" s="4">
        <f t="shared" si="36"/>
        <v>2800000</v>
      </c>
    </row>
    <row r="127" spans="2:14" ht="15" customHeight="1" x14ac:dyDescent="0.25">
      <c r="B127" s="10">
        <v>46135</v>
      </c>
      <c r="C127" s="14">
        <v>568</v>
      </c>
      <c r="D127" s="14" t="s">
        <v>15</v>
      </c>
      <c r="E127" s="1" t="s">
        <v>255</v>
      </c>
      <c r="F127" s="3">
        <v>1000000</v>
      </c>
      <c r="G127" s="35">
        <v>1100000</v>
      </c>
      <c r="H127" s="31"/>
      <c r="I127" s="31">
        <v>100000</v>
      </c>
      <c r="J127" s="31"/>
      <c r="K127" s="31"/>
      <c r="L127" s="3"/>
      <c r="M127" s="30">
        <f t="shared" si="39"/>
        <v>100000</v>
      </c>
      <c r="N127" s="4">
        <f t="shared" si="36"/>
        <v>1000000</v>
      </c>
    </row>
    <row r="128" spans="2:14" ht="15" customHeight="1" x14ac:dyDescent="0.25">
      <c r="B128" s="10"/>
      <c r="C128" s="14">
        <v>218</v>
      </c>
      <c r="D128" s="14" t="s">
        <v>15</v>
      </c>
      <c r="E128" s="1" t="s">
        <v>57</v>
      </c>
      <c r="F128" s="3">
        <v>1400000</v>
      </c>
      <c r="G128" s="35">
        <f t="shared" si="38"/>
        <v>1680000</v>
      </c>
      <c r="H128" s="31">
        <v>50000</v>
      </c>
      <c r="I128" s="31">
        <v>50000</v>
      </c>
      <c r="J128" s="31"/>
      <c r="K128" s="31"/>
      <c r="L128" s="3"/>
      <c r="M128" s="30">
        <f t="shared" si="39"/>
        <v>100000</v>
      </c>
      <c r="N128" s="4">
        <f t="shared" si="36"/>
        <v>1580000</v>
      </c>
    </row>
    <row r="129" spans="2:14" x14ac:dyDescent="0.25">
      <c r="B129" s="10"/>
      <c r="C129" s="14">
        <v>78</v>
      </c>
      <c r="D129" s="14" t="s">
        <v>15</v>
      </c>
      <c r="E129" s="1" t="s">
        <v>121</v>
      </c>
      <c r="F129" s="3">
        <v>1500000</v>
      </c>
      <c r="G129" s="35">
        <f t="shared" si="38"/>
        <v>1800000</v>
      </c>
      <c r="H129" s="31">
        <v>100000</v>
      </c>
      <c r="I129" s="31">
        <v>50000</v>
      </c>
      <c r="J129" s="31"/>
      <c r="K129" s="31"/>
      <c r="L129" s="3"/>
      <c r="M129" s="30">
        <f t="shared" si="39"/>
        <v>150000</v>
      </c>
      <c r="N129" s="4">
        <f t="shared" si="36"/>
        <v>1650000</v>
      </c>
    </row>
    <row r="130" spans="2:14" ht="15" customHeight="1" x14ac:dyDescent="0.25">
      <c r="B130" s="10"/>
      <c r="C130" s="14">
        <v>704</v>
      </c>
      <c r="D130" s="14" t="s">
        <v>15</v>
      </c>
      <c r="E130" s="1" t="s">
        <v>281</v>
      </c>
      <c r="F130" s="3">
        <v>1500000</v>
      </c>
      <c r="G130" s="35">
        <f t="shared" si="38"/>
        <v>1800000</v>
      </c>
      <c r="H130" s="31"/>
      <c r="I130" s="31"/>
      <c r="J130" s="31">
        <v>50000</v>
      </c>
      <c r="K130" s="31"/>
      <c r="L130" s="3"/>
      <c r="M130" s="30">
        <f t="shared" si="39"/>
        <v>50000</v>
      </c>
      <c r="N130" s="4">
        <f t="shared" si="36"/>
        <v>1750000</v>
      </c>
    </row>
    <row r="131" spans="2:14" x14ac:dyDescent="0.25">
      <c r="B131" s="10"/>
      <c r="C131" s="14">
        <v>776</v>
      </c>
      <c r="D131" s="14" t="s">
        <v>15</v>
      </c>
      <c r="E131" s="1" t="s">
        <v>282</v>
      </c>
      <c r="F131" s="3">
        <v>1600000</v>
      </c>
      <c r="G131" s="35">
        <f t="shared" si="38"/>
        <v>1920000</v>
      </c>
      <c r="H131" s="31"/>
      <c r="I131" s="31"/>
      <c r="J131" s="31"/>
      <c r="K131" s="31"/>
      <c r="L131" s="3"/>
      <c r="M131" s="30">
        <f t="shared" si="39"/>
        <v>0</v>
      </c>
      <c r="N131" s="4">
        <f t="shared" si="36"/>
        <v>1920000</v>
      </c>
    </row>
    <row r="132" spans="2:14" x14ac:dyDescent="0.25">
      <c r="B132" s="21"/>
      <c r="C132" s="22"/>
      <c r="D132" s="23"/>
      <c r="E132" s="24"/>
      <c r="F132" s="33">
        <f t="shared" ref="F132:L132" si="40">SUM(F114:F131)</f>
        <v>21300000</v>
      </c>
      <c r="G132" s="36">
        <f t="shared" si="40"/>
        <v>24025000</v>
      </c>
      <c r="H132" s="33">
        <f t="shared" si="40"/>
        <v>830000</v>
      </c>
      <c r="I132" s="33">
        <f t="shared" si="40"/>
        <v>1790000</v>
      </c>
      <c r="J132" s="33">
        <f t="shared" si="40"/>
        <v>320000</v>
      </c>
      <c r="K132" s="33">
        <f t="shared" si="40"/>
        <v>0</v>
      </c>
      <c r="L132" s="19">
        <f t="shared" si="40"/>
        <v>0</v>
      </c>
      <c r="M132" s="43">
        <f t="shared" si="39"/>
        <v>2940000</v>
      </c>
      <c r="N132" s="20">
        <f t="shared" si="36"/>
        <v>21085000</v>
      </c>
    </row>
    <row r="133" spans="2:14" x14ac:dyDescent="0.25">
      <c r="B133" s="26">
        <v>46142</v>
      </c>
      <c r="C133" s="44">
        <v>797</v>
      </c>
      <c r="D133" s="45" t="s">
        <v>15</v>
      </c>
      <c r="E133" s="46" t="s">
        <v>151</v>
      </c>
      <c r="F133" s="34">
        <v>500000</v>
      </c>
      <c r="G133" s="35">
        <f>F133*120%</f>
        <v>600000</v>
      </c>
      <c r="H133" s="34"/>
      <c r="I133" s="34">
        <v>30000</v>
      </c>
      <c r="J133" s="34">
        <v>50000</v>
      </c>
      <c r="K133" s="34"/>
      <c r="L133" s="27"/>
      <c r="M133" s="47">
        <f>SUM(H133:L133)</f>
        <v>80000</v>
      </c>
      <c r="N133" s="28">
        <f>G133-M133</f>
        <v>520000</v>
      </c>
    </row>
    <row r="134" spans="2:14" x14ac:dyDescent="0.25">
      <c r="B134" s="26"/>
      <c r="C134" s="44">
        <v>702</v>
      </c>
      <c r="D134" s="45" t="s">
        <v>15</v>
      </c>
      <c r="E134" s="46" t="s">
        <v>292</v>
      </c>
      <c r="F134" s="34">
        <v>1000000</v>
      </c>
      <c r="G134" s="35">
        <f t="shared" ref="G134:G139" si="41">F134*120%</f>
        <v>1200000</v>
      </c>
      <c r="H134" s="34">
        <v>50000</v>
      </c>
      <c r="I134" s="34"/>
      <c r="J134" s="34">
        <v>50000</v>
      </c>
      <c r="K134" s="34"/>
      <c r="L134" s="27"/>
      <c r="M134" s="47">
        <f>SUM(H134:L134)</f>
        <v>100000</v>
      </c>
      <c r="N134" s="28">
        <f t="shared" ref="N134:N139" si="42">G134-M134</f>
        <v>1100000</v>
      </c>
    </row>
    <row r="135" spans="2:14" x14ac:dyDescent="0.25">
      <c r="B135" s="26"/>
      <c r="C135" s="44">
        <v>1024</v>
      </c>
      <c r="D135" s="45" t="s">
        <v>15</v>
      </c>
      <c r="E135" s="46" t="s">
        <v>293</v>
      </c>
      <c r="F135" s="34">
        <v>1400000</v>
      </c>
      <c r="G135" s="35">
        <f t="shared" si="41"/>
        <v>1680000</v>
      </c>
      <c r="H135" s="34">
        <v>50000</v>
      </c>
      <c r="I135" s="34">
        <v>50000</v>
      </c>
      <c r="J135" s="34"/>
      <c r="K135" s="34"/>
      <c r="L135" s="27"/>
      <c r="M135" s="47">
        <f>SUM(H135:L135)</f>
        <v>100000</v>
      </c>
      <c r="N135" s="28">
        <f t="shared" si="42"/>
        <v>1580000</v>
      </c>
    </row>
    <row r="136" spans="2:14" x14ac:dyDescent="0.25">
      <c r="B136" s="26"/>
      <c r="C136" s="44">
        <v>468</v>
      </c>
      <c r="D136" s="45" t="s">
        <v>15</v>
      </c>
      <c r="E136" s="46" t="s">
        <v>294</v>
      </c>
      <c r="F136" s="34">
        <v>1500000</v>
      </c>
      <c r="G136" s="35">
        <f t="shared" si="41"/>
        <v>1800000</v>
      </c>
      <c r="H136" s="34">
        <v>150000</v>
      </c>
      <c r="I136" s="34">
        <v>150000</v>
      </c>
      <c r="J136" s="34">
        <v>150000</v>
      </c>
      <c r="K136" s="34"/>
      <c r="L136" s="27"/>
      <c r="M136" s="47">
        <f>SUM(H136:L136)</f>
        <v>450000</v>
      </c>
      <c r="N136" s="28">
        <f t="shared" si="42"/>
        <v>1350000</v>
      </c>
    </row>
    <row r="137" spans="2:14" x14ac:dyDescent="0.25">
      <c r="B137" s="26"/>
      <c r="C137" s="44">
        <v>1183</v>
      </c>
      <c r="D137" s="45" t="s">
        <v>15</v>
      </c>
      <c r="E137" s="46" t="s">
        <v>295</v>
      </c>
      <c r="F137" s="34">
        <v>2000000</v>
      </c>
      <c r="G137" s="35">
        <f t="shared" si="41"/>
        <v>2400000</v>
      </c>
      <c r="H137" s="34"/>
      <c r="I137" s="34">
        <v>100000</v>
      </c>
      <c r="J137" s="34">
        <v>100000</v>
      </c>
      <c r="K137" s="34"/>
      <c r="L137" s="27"/>
      <c r="M137" s="47">
        <f>SUM(I137:L137)</f>
        <v>200000</v>
      </c>
      <c r="N137" s="28">
        <f t="shared" si="42"/>
        <v>2200000</v>
      </c>
    </row>
    <row r="138" spans="2:14" ht="16.5" customHeight="1" x14ac:dyDescent="0.25">
      <c r="B138" s="26"/>
      <c r="C138" s="44">
        <v>1120</v>
      </c>
      <c r="D138" s="45" t="s">
        <v>15</v>
      </c>
      <c r="E138" s="46" t="s">
        <v>296</v>
      </c>
      <c r="F138" s="34">
        <v>2600000</v>
      </c>
      <c r="G138" s="35">
        <f t="shared" si="41"/>
        <v>3120000</v>
      </c>
      <c r="H138" s="34"/>
      <c r="I138" s="34">
        <v>100000</v>
      </c>
      <c r="J138" s="34">
        <v>100000</v>
      </c>
      <c r="K138" s="34"/>
      <c r="L138" s="27"/>
      <c r="M138" s="47">
        <f>SUM(I138:L138)</f>
        <v>200000</v>
      </c>
      <c r="N138" s="28">
        <f t="shared" si="42"/>
        <v>2920000</v>
      </c>
    </row>
    <row r="139" spans="2:14" ht="15" customHeight="1" x14ac:dyDescent="0.25">
      <c r="B139" s="26"/>
      <c r="C139" s="44">
        <v>936</v>
      </c>
      <c r="D139" s="45" t="s">
        <v>15</v>
      </c>
      <c r="E139" s="46" t="s">
        <v>297</v>
      </c>
      <c r="F139" s="34">
        <v>7800000</v>
      </c>
      <c r="G139" s="35">
        <f t="shared" si="41"/>
        <v>9360000</v>
      </c>
      <c r="H139" s="34">
        <v>200000</v>
      </c>
      <c r="I139" s="34">
        <v>200000</v>
      </c>
      <c r="J139" s="34">
        <v>200000</v>
      </c>
      <c r="K139" s="34"/>
      <c r="L139" s="27"/>
      <c r="M139" s="47">
        <f>SUM(H139:L139)</f>
        <v>600000</v>
      </c>
      <c r="N139" s="28">
        <f t="shared" si="42"/>
        <v>8760000</v>
      </c>
    </row>
    <row r="140" spans="2:14" ht="15.75" customHeight="1" x14ac:dyDescent="0.25">
      <c r="B140" s="24"/>
      <c r="C140" s="22"/>
      <c r="D140" s="23"/>
      <c r="E140" s="24"/>
      <c r="F140" s="33">
        <f>SUM(F133:F139)</f>
        <v>16800000</v>
      </c>
      <c r="G140" s="36">
        <f t="shared" si="38"/>
        <v>20160000</v>
      </c>
      <c r="H140" s="33">
        <f>SUM(H133:H139)</f>
        <v>450000</v>
      </c>
      <c r="I140" s="33">
        <f>SUM(I133:I139)</f>
        <v>630000</v>
      </c>
      <c r="J140" s="33">
        <f>SUM(J133:J139)</f>
        <v>650000</v>
      </c>
      <c r="K140" s="33"/>
      <c r="L140" s="24"/>
      <c r="M140" s="43">
        <f>SUM(H140:L140)</f>
        <v>1730000</v>
      </c>
      <c r="N140" s="20">
        <f>G140-M140</f>
        <v>18430000</v>
      </c>
    </row>
    <row r="142" spans="2:14" x14ac:dyDescent="0.25">
      <c r="B142" s="7"/>
      <c r="C142" s="7"/>
      <c r="D142" s="7"/>
      <c r="E142" s="9" t="s">
        <v>6</v>
      </c>
      <c r="F142" s="8">
        <f>F29+F45+F67+F89+F110+F132+F140</f>
        <v>180000000</v>
      </c>
      <c r="G142" s="8">
        <f t="shared" ref="G142:M142" si="43">G29+G45+G67+G89+G110+G132+G140</f>
        <v>170850000</v>
      </c>
      <c r="H142" s="8">
        <f t="shared" si="43"/>
        <v>11580000</v>
      </c>
      <c r="I142" s="8">
        <f t="shared" si="43"/>
        <v>18735000</v>
      </c>
      <c r="J142" s="8">
        <f t="shared" si="43"/>
        <v>14235000</v>
      </c>
      <c r="K142" s="8">
        <f t="shared" si="43"/>
        <v>0</v>
      </c>
      <c r="L142" s="8">
        <f t="shared" si="43"/>
        <v>0</v>
      </c>
      <c r="M142" s="8">
        <f t="shared" si="43"/>
        <v>41350000</v>
      </c>
      <c r="N142" s="8">
        <f>G142-M142</f>
        <v>129500000</v>
      </c>
    </row>
    <row r="143" spans="2:14" ht="15.75" customHeight="1" thickBot="1" x14ac:dyDescent="0.3"/>
    <row r="144" spans="2:14" x14ac:dyDescent="0.25">
      <c r="B144" s="65" t="s">
        <v>0</v>
      </c>
      <c r="C144" s="6" t="s">
        <v>1</v>
      </c>
      <c r="D144" s="6"/>
      <c r="E144" s="67" t="s">
        <v>4</v>
      </c>
      <c r="F144" s="67" t="s">
        <v>5</v>
      </c>
      <c r="G144" s="69" t="s">
        <v>6</v>
      </c>
      <c r="H144" s="6"/>
      <c r="I144" s="6"/>
      <c r="J144" s="6"/>
      <c r="K144" s="6"/>
      <c r="L144" s="6"/>
      <c r="M144" s="67" t="s">
        <v>7</v>
      </c>
      <c r="N144" s="63" t="s">
        <v>8</v>
      </c>
    </row>
    <row r="145" spans="2:14" ht="15" customHeight="1" thickBot="1" x14ac:dyDescent="0.3">
      <c r="B145" s="66"/>
      <c r="C145" s="5" t="s">
        <v>2</v>
      </c>
      <c r="D145" s="5" t="s">
        <v>3</v>
      </c>
      <c r="E145" s="68"/>
      <c r="F145" s="68"/>
      <c r="G145" s="70"/>
      <c r="H145" s="5">
        <v>7</v>
      </c>
      <c r="I145" s="5">
        <v>21</v>
      </c>
      <c r="J145" s="5">
        <v>28</v>
      </c>
      <c r="K145" s="5"/>
      <c r="L145" s="5"/>
      <c r="M145" s="68"/>
      <c r="N145" s="64"/>
    </row>
    <row r="146" spans="2:14" ht="15.75" customHeight="1" x14ac:dyDescent="0.25">
      <c r="B146" s="26">
        <v>46149</v>
      </c>
      <c r="C146" s="13">
        <v>851</v>
      </c>
      <c r="D146" s="14" t="s">
        <v>15</v>
      </c>
      <c r="E146" s="1" t="s">
        <v>84</v>
      </c>
      <c r="F146" s="3">
        <v>1000000</v>
      </c>
      <c r="G146" s="35">
        <f>F146*120%</f>
        <v>1200000</v>
      </c>
      <c r="H146" s="34"/>
      <c r="I146" s="34"/>
      <c r="J146" s="34"/>
      <c r="K146" s="34"/>
      <c r="L146" s="27"/>
      <c r="M146" s="28">
        <f t="shared" ref="M146:M148" si="44">SUM(H146:L146)</f>
        <v>0</v>
      </c>
      <c r="N146" s="28">
        <f>G146-M146</f>
        <v>1200000</v>
      </c>
    </row>
    <row r="147" spans="2:14" x14ac:dyDescent="0.25">
      <c r="B147" s="10"/>
      <c r="C147" s="13">
        <v>457</v>
      </c>
      <c r="D147" s="14" t="s">
        <v>15</v>
      </c>
      <c r="E147" s="1" t="s">
        <v>310</v>
      </c>
      <c r="F147" s="3">
        <v>1000000</v>
      </c>
      <c r="G147" s="35">
        <f t="shared" ref="G147:G164" si="45">F147*120%</f>
        <v>1200000</v>
      </c>
      <c r="H147" s="31"/>
      <c r="I147" s="31">
        <v>100000</v>
      </c>
      <c r="J147" s="31">
        <v>100000</v>
      </c>
      <c r="K147" s="31"/>
      <c r="L147" s="3"/>
      <c r="M147" s="30">
        <f t="shared" si="44"/>
        <v>200000</v>
      </c>
      <c r="N147" s="4">
        <f t="shared" ref="N147:N175" si="46">G147-M147</f>
        <v>1000000</v>
      </c>
    </row>
    <row r="148" spans="2:14" ht="15" customHeight="1" x14ac:dyDescent="0.25">
      <c r="B148" s="10"/>
      <c r="C148" s="13">
        <v>606</v>
      </c>
      <c r="D148" s="14" t="s">
        <v>15</v>
      </c>
      <c r="E148" s="1" t="s">
        <v>51</v>
      </c>
      <c r="F148" s="3">
        <v>1000000</v>
      </c>
      <c r="G148" s="35">
        <f t="shared" si="45"/>
        <v>1200000</v>
      </c>
      <c r="H148" s="31"/>
      <c r="I148" s="31">
        <v>50000</v>
      </c>
      <c r="J148" s="31"/>
      <c r="K148" s="31"/>
      <c r="L148" s="3"/>
      <c r="M148" s="4">
        <f t="shared" si="44"/>
        <v>50000</v>
      </c>
      <c r="N148" s="4">
        <f t="shared" si="46"/>
        <v>1150000</v>
      </c>
    </row>
    <row r="149" spans="2:14" x14ac:dyDescent="0.25">
      <c r="B149" s="10"/>
      <c r="C149" s="13">
        <v>463</v>
      </c>
      <c r="D149" s="14" t="s">
        <v>15</v>
      </c>
      <c r="E149" s="1" t="s">
        <v>66</v>
      </c>
      <c r="F149" s="3">
        <v>1500000</v>
      </c>
      <c r="G149" s="35">
        <f t="shared" si="45"/>
        <v>1800000</v>
      </c>
      <c r="H149" s="31"/>
      <c r="I149" s="31">
        <v>150000</v>
      </c>
      <c r="J149" s="31">
        <v>150000</v>
      </c>
      <c r="K149" s="31"/>
      <c r="L149" s="3"/>
      <c r="M149" s="3">
        <f>SUM(H149:L149)</f>
        <v>300000</v>
      </c>
      <c r="N149" s="4">
        <f t="shared" si="46"/>
        <v>1500000</v>
      </c>
    </row>
    <row r="150" spans="2:14" x14ac:dyDescent="0.25">
      <c r="B150" s="10"/>
      <c r="C150" s="13">
        <v>31</v>
      </c>
      <c r="D150" s="14" t="s">
        <v>15</v>
      </c>
      <c r="E150" s="1" t="s">
        <v>213</v>
      </c>
      <c r="F150" s="3">
        <v>2000000</v>
      </c>
      <c r="G150" s="35">
        <f t="shared" si="45"/>
        <v>2400000</v>
      </c>
      <c r="H150" s="31"/>
      <c r="I150" s="31"/>
      <c r="J150" s="31"/>
      <c r="K150" s="31"/>
      <c r="L150" s="3"/>
      <c r="M150" s="4">
        <f>SUM(H150:L150)</f>
        <v>0</v>
      </c>
      <c r="N150" s="4">
        <f t="shared" si="46"/>
        <v>2400000</v>
      </c>
    </row>
    <row r="151" spans="2:14" x14ac:dyDescent="0.25">
      <c r="B151" s="10"/>
      <c r="C151" s="13">
        <v>457</v>
      </c>
      <c r="D151" s="14" t="s">
        <v>15</v>
      </c>
      <c r="E151" s="1" t="s">
        <v>227</v>
      </c>
      <c r="F151" s="3">
        <v>2000000</v>
      </c>
      <c r="G151" s="35">
        <f t="shared" si="45"/>
        <v>2400000</v>
      </c>
      <c r="H151" s="31"/>
      <c r="I151" s="31">
        <v>200000</v>
      </c>
      <c r="J151" s="31">
        <v>200000</v>
      </c>
      <c r="K151" s="31"/>
      <c r="L151" s="3"/>
      <c r="M151" s="30">
        <f>SUM(H151:L151)</f>
        <v>400000</v>
      </c>
      <c r="N151" s="4">
        <f t="shared" si="46"/>
        <v>2000000</v>
      </c>
    </row>
    <row r="152" spans="2:14" x14ac:dyDescent="0.25">
      <c r="B152" s="10"/>
      <c r="C152" s="13">
        <v>95</v>
      </c>
      <c r="D152" s="14" t="s">
        <v>15</v>
      </c>
      <c r="E152" s="1" t="s">
        <v>179</v>
      </c>
      <c r="F152" s="3">
        <v>2500000</v>
      </c>
      <c r="G152" s="35">
        <f t="shared" si="45"/>
        <v>3000000</v>
      </c>
      <c r="H152" s="31"/>
      <c r="I152" s="31">
        <v>250000</v>
      </c>
      <c r="J152" s="31">
        <v>250000</v>
      </c>
      <c r="K152" s="31"/>
      <c r="L152" s="3"/>
      <c r="M152" s="30">
        <f>SUM(H152:L152)</f>
        <v>500000</v>
      </c>
      <c r="N152" s="4">
        <f t="shared" si="46"/>
        <v>2500000</v>
      </c>
    </row>
    <row r="153" spans="2:14" x14ac:dyDescent="0.25">
      <c r="B153" s="10">
        <v>46157</v>
      </c>
      <c r="C153" s="13">
        <v>666</v>
      </c>
      <c r="D153" s="14" t="s">
        <v>15</v>
      </c>
      <c r="E153" s="1" t="s">
        <v>176</v>
      </c>
      <c r="F153" s="3">
        <v>2000000</v>
      </c>
      <c r="G153" s="35">
        <f t="shared" si="45"/>
        <v>2400000</v>
      </c>
      <c r="H153" s="31"/>
      <c r="I153" s="31"/>
      <c r="J153" s="31">
        <v>200000</v>
      </c>
      <c r="K153" s="31"/>
      <c r="L153" s="3"/>
      <c r="M153" s="30">
        <f t="shared" ref="M153" si="47">SUM(H153:L153)</f>
        <v>200000</v>
      </c>
      <c r="N153" s="4">
        <f t="shared" si="46"/>
        <v>2200000</v>
      </c>
    </row>
    <row r="154" spans="2:14" x14ac:dyDescent="0.25">
      <c r="B154" s="10">
        <v>46163</v>
      </c>
      <c r="C154" s="13">
        <v>838</v>
      </c>
      <c r="D154" s="14" t="s">
        <v>15</v>
      </c>
      <c r="E154" s="1" t="s">
        <v>34</v>
      </c>
      <c r="F154" s="3">
        <v>200000</v>
      </c>
      <c r="G154" s="35">
        <f t="shared" si="45"/>
        <v>240000</v>
      </c>
      <c r="H154" s="31"/>
      <c r="I154" s="31"/>
      <c r="J154" s="31"/>
      <c r="K154" s="31"/>
      <c r="L154" s="3"/>
      <c r="M154" s="30">
        <f>SUM(J154:L154)</f>
        <v>0</v>
      </c>
      <c r="N154" s="4">
        <f t="shared" si="46"/>
        <v>240000</v>
      </c>
    </row>
    <row r="155" spans="2:14" x14ac:dyDescent="0.25">
      <c r="B155" s="10"/>
      <c r="C155" s="13">
        <v>969</v>
      </c>
      <c r="D155" s="14" t="s">
        <v>15</v>
      </c>
      <c r="E155" s="1" t="s">
        <v>24</v>
      </c>
      <c r="F155" s="3">
        <v>500000</v>
      </c>
      <c r="G155" s="35">
        <f t="shared" si="45"/>
        <v>600000</v>
      </c>
      <c r="H155" s="31"/>
      <c r="I155" s="31"/>
      <c r="J155" s="31"/>
      <c r="K155" s="31"/>
      <c r="L155" s="3"/>
      <c r="M155" s="30">
        <f t="shared" ref="M155:M160" si="48">SUM(H155:L155)</f>
        <v>0</v>
      </c>
      <c r="N155" s="4">
        <f t="shared" si="46"/>
        <v>600000</v>
      </c>
    </row>
    <row r="156" spans="2:14" x14ac:dyDescent="0.25">
      <c r="B156" s="10"/>
      <c r="C156" s="13">
        <v>624</v>
      </c>
      <c r="D156" s="14" t="s">
        <v>15</v>
      </c>
      <c r="E156" s="1" t="s">
        <v>178</v>
      </c>
      <c r="F156" s="3">
        <v>500000</v>
      </c>
      <c r="G156" s="35">
        <f t="shared" si="45"/>
        <v>600000</v>
      </c>
      <c r="H156" s="31"/>
      <c r="I156" s="31"/>
      <c r="J156" s="31">
        <v>50000</v>
      </c>
      <c r="K156" s="31"/>
      <c r="L156" s="3"/>
      <c r="M156" s="30">
        <f t="shared" si="48"/>
        <v>50000</v>
      </c>
      <c r="N156" s="4">
        <f t="shared" si="46"/>
        <v>550000</v>
      </c>
    </row>
    <row r="157" spans="2:14" x14ac:dyDescent="0.25">
      <c r="B157" s="10"/>
      <c r="C157" s="13">
        <v>901</v>
      </c>
      <c r="D157" s="14" t="s">
        <v>15</v>
      </c>
      <c r="E157" s="1" t="s">
        <v>234</v>
      </c>
      <c r="F157" s="3">
        <v>1000000</v>
      </c>
      <c r="G157" s="35">
        <f t="shared" si="45"/>
        <v>1200000</v>
      </c>
      <c r="H157" s="31"/>
      <c r="I157" s="31"/>
      <c r="J157" s="31"/>
      <c r="K157" s="31"/>
      <c r="L157" s="3"/>
      <c r="M157" s="30">
        <f t="shared" si="48"/>
        <v>0</v>
      </c>
      <c r="N157" s="4">
        <f t="shared" si="46"/>
        <v>1200000</v>
      </c>
    </row>
    <row r="158" spans="2:14" x14ac:dyDescent="0.25">
      <c r="B158" s="10"/>
      <c r="C158" s="13">
        <v>961</v>
      </c>
      <c r="D158" s="14" t="s">
        <v>15</v>
      </c>
      <c r="E158" s="1" t="s">
        <v>226</v>
      </c>
      <c r="F158" s="3">
        <v>1000000</v>
      </c>
      <c r="G158" s="35">
        <f t="shared" si="45"/>
        <v>1200000</v>
      </c>
      <c r="H158" s="31"/>
      <c r="I158" s="31"/>
      <c r="J158" s="31">
        <v>50000</v>
      </c>
      <c r="K158" s="31"/>
      <c r="L158" s="3"/>
      <c r="M158" s="30">
        <f t="shared" si="48"/>
        <v>50000</v>
      </c>
      <c r="N158" s="4">
        <f t="shared" si="46"/>
        <v>1150000</v>
      </c>
    </row>
    <row r="159" spans="2:14" x14ac:dyDescent="0.25">
      <c r="B159" s="10"/>
      <c r="C159" s="13">
        <v>108</v>
      </c>
      <c r="D159" s="14" t="s">
        <v>16</v>
      </c>
      <c r="E159" s="1" t="s">
        <v>318</v>
      </c>
      <c r="F159" s="3">
        <v>1000000</v>
      </c>
      <c r="G159" s="35">
        <f t="shared" si="45"/>
        <v>1200000</v>
      </c>
      <c r="H159" s="31"/>
      <c r="I159" s="31"/>
      <c r="J159" s="31">
        <v>100000</v>
      </c>
      <c r="K159" s="31"/>
      <c r="L159" s="3"/>
      <c r="M159" s="30">
        <f t="shared" si="48"/>
        <v>100000</v>
      </c>
      <c r="N159" s="4">
        <f t="shared" si="46"/>
        <v>1100000</v>
      </c>
    </row>
    <row r="160" spans="2:14" x14ac:dyDescent="0.25">
      <c r="B160" s="10"/>
      <c r="C160" s="13">
        <v>225</v>
      </c>
      <c r="D160" s="14" t="s">
        <v>16</v>
      </c>
      <c r="E160" s="1" t="s">
        <v>319</v>
      </c>
      <c r="F160" s="3">
        <v>1500000</v>
      </c>
      <c r="G160" s="35">
        <f t="shared" si="45"/>
        <v>1800000</v>
      </c>
      <c r="H160" s="31"/>
      <c r="I160" s="31"/>
      <c r="J160" s="31">
        <v>150000</v>
      </c>
      <c r="K160" s="31"/>
      <c r="L160" s="3"/>
      <c r="M160" s="30">
        <f t="shared" si="48"/>
        <v>150000</v>
      </c>
      <c r="N160" s="4">
        <f t="shared" si="46"/>
        <v>1650000</v>
      </c>
    </row>
    <row r="161" spans="2:14" x14ac:dyDescent="0.25">
      <c r="B161" s="10"/>
      <c r="C161" s="13">
        <v>161</v>
      </c>
      <c r="D161" s="14" t="s">
        <v>15</v>
      </c>
      <c r="E161" s="1" t="s">
        <v>30</v>
      </c>
      <c r="F161" s="3">
        <v>2000000</v>
      </c>
      <c r="G161" s="35">
        <f t="shared" si="45"/>
        <v>2400000</v>
      </c>
      <c r="H161" s="31"/>
      <c r="I161" s="31"/>
      <c r="J161" s="31"/>
      <c r="K161" s="31"/>
      <c r="L161" s="3"/>
      <c r="M161" s="30"/>
      <c r="N161" s="4">
        <f t="shared" si="46"/>
        <v>2400000</v>
      </c>
    </row>
    <row r="162" spans="2:14" x14ac:dyDescent="0.25">
      <c r="B162" s="10"/>
      <c r="C162" s="13">
        <v>553</v>
      </c>
      <c r="D162" s="14" t="s">
        <v>15</v>
      </c>
      <c r="E162" s="1" t="s">
        <v>86</v>
      </c>
      <c r="F162" s="3">
        <v>2000000</v>
      </c>
      <c r="G162" s="35">
        <f t="shared" si="45"/>
        <v>2400000</v>
      </c>
      <c r="H162" s="31"/>
      <c r="I162" s="31"/>
      <c r="J162" s="31"/>
      <c r="K162" s="31"/>
      <c r="L162" s="3"/>
      <c r="M162" s="30"/>
      <c r="N162" s="4">
        <f t="shared" si="46"/>
        <v>2400000</v>
      </c>
    </row>
    <row r="163" spans="2:14" x14ac:dyDescent="0.25">
      <c r="B163" s="1"/>
      <c r="C163" s="13">
        <v>951</v>
      </c>
      <c r="D163" s="14" t="s">
        <v>15</v>
      </c>
      <c r="E163" s="1" t="s">
        <v>182</v>
      </c>
      <c r="F163" s="3">
        <v>2500000</v>
      </c>
      <c r="G163" s="35">
        <f t="shared" si="45"/>
        <v>3000000</v>
      </c>
      <c r="H163" s="1"/>
      <c r="I163" s="1"/>
      <c r="J163" s="1">
        <v>130000</v>
      </c>
      <c r="K163" s="1"/>
      <c r="L163" s="1"/>
      <c r="M163" s="1"/>
      <c r="N163" s="4">
        <f t="shared" si="46"/>
        <v>3000000</v>
      </c>
    </row>
    <row r="164" spans="2:14" x14ac:dyDescent="0.25">
      <c r="B164" s="1"/>
      <c r="C164" s="13">
        <v>1115</v>
      </c>
      <c r="D164" s="14" t="s">
        <v>15</v>
      </c>
      <c r="E164" s="1" t="s">
        <v>169</v>
      </c>
      <c r="F164" s="3">
        <v>3500000</v>
      </c>
      <c r="G164" s="35">
        <f t="shared" si="45"/>
        <v>4200000</v>
      </c>
      <c r="H164" s="1"/>
      <c r="I164" s="1"/>
      <c r="J164" s="1"/>
      <c r="K164" s="1"/>
      <c r="L164" s="1"/>
      <c r="M164" s="1"/>
      <c r="N164" s="4">
        <f t="shared" si="46"/>
        <v>4200000</v>
      </c>
    </row>
    <row r="165" spans="2:14" x14ac:dyDescent="0.25">
      <c r="B165" s="24"/>
      <c r="C165" s="24"/>
      <c r="D165" s="24"/>
      <c r="E165" s="24"/>
      <c r="F165" s="20">
        <f>SUM(F146:F164)</f>
        <v>28700000</v>
      </c>
      <c r="G165" s="43">
        <f>SUM(G146:G164)</f>
        <v>34440000</v>
      </c>
      <c r="H165" s="24"/>
      <c r="I165" s="43">
        <f>SUM(I146:I164)</f>
        <v>750000</v>
      </c>
      <c r="J165" s="43">
        <f>SUM(J146:J164)</f>
        <v>1380000</v>
      </c>
      <c r="K165" s="24"/>
      <c r="L165" s="24"/>
      <c r="M165" s="24"/>
      <c r="N165" s="20">
        <f t="shared" si="46"/>
        <v>34440000</v>
      </c>
    </row>
    <row r="166" spans="2:14" x14ac:dyDescent="0.25">
      <c r="B166" s="10">
        <v>46170</v>
      </c>
      <c r="C166" s="14">
        <v>208</v>
      </c>
      <c r="D166" s="14" t="s">
        <v>15</v>
      </c>
      <c r="E166" s="1" t="s">
        <v>75</v>
      </c>
      <c r="F166" s="3">
        <v>300000</v>
      </c>
      <c r="G166" s="88">
        <f>F166*120%</f>
        <v>360000</v>
      </c>
      <c r="H166" s="1"/>
      <c r="I166" s="1"/>
      <c r="J166" s="1"/>
      <c r="K166" s="1"/>
      <c r="L166" s="1"/>
      <c r="M166" s="1"/>
      <c r="N166" s="4">
        <f t="shared" si="46"/>
        <v>360000</v>
      </c>
    </row>
    <row r="167" spans="2:14" x14ac:dyDescent="0.25">
      <c r="B167" s="1"/>
      <c r="C167" s="14">
        <v>1267</v>
      </c>
      <c r="D167" s="14" t="s">
        <v>15</v>
      </c>
      <c r="E167" s="1" t="s">
        <v>235</v>
      </c>
      <c r="F167" s="3">
        <v>1000000</v>
      </c>
      <c r="G167" s="88">
        <f t="shared" ref="G167:G174" si="49">F167*120%</f>
        <v>1200000</v>
      </c>
      <c r="H167" s="1"/>
      <c r="I167" s="1"/>
      <c r="J167" s="1"/>
      <c r="K167" s="1"/>
      <c r="L167" s="1"/>
      <c r="M167" s="1"/>
      <c r="N167" s="4">
        <f t="shared" si="46"/>
        <v>1200000</v>
      </c>
    </row>
    <row r="168" spans="2:14" x14ac:dyDescent="0.25">
      <c r="B168" s="1"/>
      <c r="C168" s="14">
        <v>805</v>
      </c>
      <c r="D168" s="14" t="s">
        <v>15</v>
      </c>
      <c r="E168" s="1" t="s">
        <v>325</v>
      </c>
      <c r="F168" s="3">
        <v>1200000</v>
      </c>
      <c r="G168" s="88">
        <f t="shared" si="49"/>
        <v>1440000</v>
      </c>
      <c r="H168" s="1"/>
      <c r="I168" s="1"/>
      <c r="J168" s="1"/>
      <c r="K168" s="1"/>
      <c r="L168" s="1"/>
      <c r="M168" s="1"/>
      <c r="N168" s="4">
        <f t="shared" si="46"/>
        <v>1440000</v>
      </c>
    </row>
    <row r="169" spans="2:14" x14ac:dyDescent="0.25">
      <c r="B169" s="1"/>
      <c r="C169" s="14">
        <v>1043</v>
      </c>
      <c r="D169" s="14" t="s">
        <v>15</v>
      </c>
      <c r="E169" s="1" t="s">
        <v>48</v>
      </c>
      <c r="F169" s="3">
        <v>1500000</v>
      </c>
      <c r="G169" s="88">
        <f t="shared" si="49"/>
        <v>1800000</v>
      </c>
      <c r="H169" s="1"/>
      <c r="I169" s="1"/>
      <c r="J169" s="1"/>
      <c r="K169" s="1"/>
      <c r="L169" s="1"/>
      <c r="M169" s="1"/>
      <c r="N169" s="4">
        <f t="shared" si="46"/>
        <v>1800000</v>
      </c>
    </row>
    <row r="170" spans="2:14" x14ac:dyDescent="0.25">
      <c r="B170" s="1"/>
      <c r="C170" s="14">
        <v>735</v>
      </c>
      <c r="D170" s="14" t="s">
        <v>15</v>
      </c>
      <c r="E170" s="1" t="s">
        <v>65</v>
      </c>
      <c r="F170" s="3">
        <v>1500000</v>
      </c>
      <c r="G170" s="88">
        <f t="shared" si="49"/>
        <v>1800000</v>
      </c>
      <c r="H170" s="1"/>
      <c r="I170" s="1"/>
      <c r="J170" s="1"/>
      <c r="K170" s="1"/>
      <c r="L170" s="1"/>
      <c r="M170" s="1"/>
      <c r="N170" s="4">
        <f t="shared" si="46"/>
        <v>1800000</v>
      </c>
    </row>
    <row r="171" spans="2:14" x14ac:dyDescent="0.25">
      <c r="B171" s="1"/>
      <c r="C171" s="14">
        <v>1234</v>
      </c>
      <c r="D171" s="14" t="s">
        <v>15</v>
      </c>
      <c r="E171" s="1" t="s">
        <v>85</v>
      </c>
      <c r="F171" s="3">
        <v>1500000</v>
      </c>
      <c r="G171" s="88">
        <f t="shared" si="49"/>
        <v>1800000</v>
      </c>
      <c r="H171" s="1"/>
      <c r="I171" s="1"/>
      <c r="J171" s="1"/>
      <c r="K171" s="1"/>
      <c r="L171" s="1"/>
      <c r="M171" s="1"/>
      <c r="N171" s="4">
        <f t="shared" si="46"/>
        <v>1800000</v>
      </c>
    </row>
    <row r="172" spans="2:14" x14ac:dyDescent="0.25">
      <c r="B172" s="1"/>
      <c r="C172" s="14">
        <v>336</v>
      </c>
      <c r="D172" s="14" t="s">
        <v>15</v>
      </c>
      <c r="E172" s="1" t="s">
        <v>100</v>
      </c>
      <c r="F172" s="3">
        <v>1800000</v>
      </c>
      <c r="G172" s="88">
        <f t="shared" si="49"/>
        <v>2160000</v>
      </c>
      <c r="H172" s="1"/>
      <c r="I172" s="1"/>
      <c r="J172" s="1"/>
      <c r="K172" s="1"/>
      <c r="L172" s="1"/>
      <c r="M172" s="1"/>
      <c r="N172" s="4">
        <f t="shared" si="46"/>
        <v>2160000</v>
      </c>
    </row>
    <row r="173" spans="2:14" x14ac:dyDescent="0.25">
      <c r="B173" s="1"/>
      <c r="C173" s="14">
        <v>322</v>
      </c>
      <c r="D173" s="14" t="s">
        <v>15</v>
      </c>
      <c r="E173" s="1" t="s">
        <v>236</v>
      </c>
      <c r="F173" s="3">
        <v>2000000</v>
      </c>
      <c r="G173" s="88">
        <f t="shared" si="49"/>
        <v>2400000</v>
      </c>
      <c r="H173" s="1"/>
      <c r="I173" s="1"/>
      <c r="J173" s="1"/>
      <c r="K173" s="1"/>
      <c r="L173" s="1"/>
      <c r="M173" s="1"/>
      <c r="N173" s="4">
        <f t="shared" si="46"/>
        <v>2400000</v>
      </c>
    </row>
    <row r="174" spans="2:14" x14ac:dyDescent="0.25">
      <c r="B174" s="1"/>
      <c r="C174" s="14">
        <v>228</v>
      </c>
      <c r="D174" s="14" t="s">
        <v>15</v>
      </c>
      <c r="E174" s="1" t="s">
        <v>118</v>
      </c>
      <c r="F174" s="3">
        <v>2000000</v>
      </c>
      <c r="G174" s="88">
        <f t="shared" si="49"/>
        <v>2400000</v>
      </c>
      <c r="H174" s="1"/>
      <c r="I174" s="1"/>
      <c r="J174" s="1"/>
      <c r="K174" s="1"/>
      <c r="L174" s="1"/>
      <c r="M174" s="1"/>
      <c r="N174" s="4">
        <f t="shared" si="46"/>
        <v>2400000</v>
      </c>
    </row>
    <row r="175" spans="2:14" x14ac:dyDescent="0.25">
      <c r="B175" s="24"/>
      <c r="C175" s="24"/>
      <c r="D175" s="24"/>
      <c r="E175" s="24"/>
      <c r="F175" s="20">
        <f>SUM(F166:F174)</f>
        <v>12800000</v>
      </c>
      <c r="G175" s="43">
        <f>SUM(G166:G174)</f>
        <v>15360000</v>
      </c>
      <c r="H175" s="24"/>
      <c r="I175" s="24"/>
      <c r="J175" s="24"/>
      <c r="K175" s="24"/>
      <c r="L175" s="24"/>
      <c r="M175" s="24"/>
      <c r="N175" s="20">
        <f t="shared" si="46"/>
        <v>15360000</v>
      </c>
    </row>
  </sheetData>
  <mergeCells count="40">
    <mergeCell ref="N144:N145"/>
    <mergeCell ref="B144:B145"/>
    <mergeCell ref="E144:E145"/>
    <mergeCell ref="F144:F145"/>
    <mergeCell ref="G144:G145"/>
    <mergeCell ref="M144:M145"/>
    <mergeCell ref="B31:B32"/>
    <mergeCell ref="E31:E32"/>
    <mergeCell ref="F31:F32"/>
    <mergeCell ref="B47:B48"/>
    <mergeCell ref="E47:E48"/>
    <mergeCell ref="F47:F48"/>
    <mergeCell ref="G31:G32"/>
    <mergeCell ref="I1:N1"/>
    <mergeCell ref="I2:N3"/>
    <mergeCell ref="M31:M32"/>
    <mergeCell ref="N31:N32"/>
    <mergeCell ref="B1:E3"/>
    <mergeCell ref="F1:H3"/>
    <mergeCell ref="M6:M7"/>
    <mergeCell ref="N6:N7"/>
    <mergeCell ref="B6:B7"/>
    <mergeCell ref="E6:E7"/>
    <mergeCell ref="F6:F7"/>
    <mergeCell ref="G6:G7"/>
    <mergeCell ref="M47:M48"/>
    <mergeCell ref="N47:N48"/>
    <mergeCell ref="B91:B92"/>
    <mergeCell ref="E91:E92"/>
    <mergeCell ref="F91:F92"/>
    <mergeCell ref="G91:G92"/>
    <mergeCell ref="M91:M92"/>
    <mergeCell ref="N91:N92"/>
    <mergeCell ref="G47:G48"/>
    <mergeCell ref="N112:N113"/>
    <mergeCell ref="B112:B113"/>
    <mergeCell ref="E112:E113"/>
    <mergeCell ref="F112:F113"/>
    <mergeCell ref="G112:G113"/>
    <mergeCell ref="M112:M113"/>
  </mergeCells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4"/>
  <sheetViews>
    <sheetView topLeftCell="A90" zoomScaleNormal="100" workbookViewId="0">
      <selection activeCell="E109" sqref="E109"/>
    </sheetView>
  </sheetViews>
  <sheetFormatPr defaultRowHeight="15" x14ac:dyDescent="0.25"/>
  <cols>
    <col min="2" max="2" width="10.7109375" bestFit="1" customWidth="1"/>
    <col min="3" max="3" width="5.42578125" customWidth="1"/>
    <col min="4" max="4" width="4.7109375" customWidth="1"/>
    <col min="5" max="5" width="15.7109375" customWidth="1"/>
    <col min="6" max="6" width="11.42578125" customWidth="1"/>
    <col min="7" max="7" width="13" customWidth="1"/>
    <col min="8" max="8" width="11.7109375" customWidth="1"/>
    <col min="9" max="9" width="11.5703125" customWidth="1"/>
    <col min="10" max="10" width="12.140625" customWidth="1"/>
    <col min="11" max="11" width="11.7109375" customWidth="1"/>
    <col min="12" max="12" width="11.28515625" customWidth="1"/>
    <col min="13" max="13" width="12" customWidth="1"/>
    <col min="14" max="14" width="12.140625" customWidth="1"/>
    <col min="17" max="17" width="10.5703125" bestFit="1" customWidth="1"/>
  </cols>
  <sheetData>
    <row r="1" spans="2:14" ht="15.75" thickBot="1" x14ac:dyDescent="0.3"/>
    <row r="2" spans="2:14" ht="21.75" thickBot="1" x14ac:dyDescent="0.3">
      <c r="B2" s="71" t="s">
        <v>13</v>
      </c>
      <c r="C2" s="72"/>
      <c r="D2" s="72"/>
      <c r="E2" s="73"/>
      <c r="F2" s="80" t="s">
        <v>9</v>
      </c>
      <c r="G2" s="72"/>
      <c r="H2" s="72"/>
      <c r="I2" s="83" t="s">
        <v>18</v>
      </c>
      <c r="J2" s="84"/>
      <c r="K2" s="84"/>
      <c r="L2" s="84"/>
      <c r="M2" s="84"/>
      <c r="N2" s="85"/>
    </row>
    <row r="3" spans="2:14" x14ac:dyDescent="0.25">
      <c r="B3" s="74"/>
      <c r="C3" s="75"/>
      <c r="D3" s="75"/>
      <c r="E3" s="76"/>
      <c r="F3" s="81"/>
      <c r="G3" s="75"/>
      <c r="H3" s="75"/>
      <c r="I3" s="74" t="s">
        <v>10</v>
      </c>
      <c r="J3" s="75"/>
      <c r="K3" s="75"/>
      <c r="L3" s="75"/>
      <c r="M3" s="75"/>
      <c r="N3" s="86"/>
    </row>
    <row r="4" spans="2:14" ht="15.75" thickBot="1" x14ac:dyDescent="0.3">
      <c r="B4" s="77"/>
      <c r="C4" s="78"/>
      <c r="D4" s="78"/>
      <c r="E4" s="79"/>
      <c r="F4" s="82"/>
      <c r="G4" s="78"/>
      <c r="H4" s="78"/>
      <c r="I4" s="77"/>
      <c r="J4" s="78"/>
      <c r="K4" s="78"/>
      <c r="L4" s="78"/>
      <c r="M4" s="78"/>
      <c r="N4" s="87"/>
    </row>
    <row r="6" spans="2:14" ht="15.75" thickBot="1" x14ac:dyDescent="0.3">
      <c r="E6" s="12" t="s">
        <v>20</v>
      </c>
    </row>
    <row r="7" spans="2:14" x14ac:dyDescent="0.25">
      <c r="B7" s="65" t="s">
        <v>0</v>
      </c>
      <c r="C7" s="6" t="s">
        <v>1</v>
      </c>
      <c r="D7" s="6"/>
      <c r="E7" s="67" t="s">
        <v>4</v>
      </c>
      <c r="F7" s="67" t="s">
        <v>5</v>
      </c>
      <c r="G7" s="69" t="s">
        <v>6</v>
      </c>
      <c r="H7" s="6"/>
      <c r="I7" s="6"/>
      <c r="J7" s="6"/>
      <c r="K7" s="6"/>
      <c r="L7" s="6"/>
      <c r="M7" s="67" t="s">
        <v>7</v>
      </c>
      <c r="N7" s="63" t="s">
        <v>8</v>
      </c>
    </row>
    <row r="8" spans="2:14" ht="15.75" thickBot="1" x14ac:dyDescent="0.3">
      <c r="B8" s="66"/>
      <c r="C8" s="5" t="s">
        <v>2</v>
      </c>
      <c r="D8" s="5" t="s">
        <v>3</v>
      </c>
      <c r="E8" s="68"/>
      <c r="F8" s="68"/>
      <c r="G8" s="70"/>
      <c r="H8" s="5">
        <v>7</v>
      </c>
      <c r="I8" s="5">
        <v>21</v>
      </c>
      <c r="J8" s="5">
        <v>28</v>
      </c>
      <c r="K8" s="5"/>
      <c r="L8" s="5"/>
      <c r="M8" s="68"/>
      <c r="N8" s="64"/>
    </row>
    <row r="9" spans="2:14" x14ac:dyDescent="0.25">
      <c r="B9" s="10">
        <v>44616</v>
      </c>
      <c r="C9" s="14">
        <v>864</v>
      </c>
      <c r="D9" s="14" t="s">
        <v>15</v>
      </c>
      <c r="E9" s="1" t="s">
        <v>35</v>
      </c>
      <c r="F9" s="3">
        <v>5000000</v>
      </c>
      <c r="G9" s="16">
        <v>3900000</v>
      </c>
      <c r="H9" s="3"/>
      <c r="I9" s="3"/>
      <c r="J9" s="3"/>
      <c r="K9" s="3"/>
      <c r="L9" s="3"/>
      <c r="M9" s="3">
        <f>SUM(H9:L9)</f>
        <v>0</v>
      </c>
      <c r="N9" s="4">
        <f t="shared" ref="N9" si="0">G9-M9</f>
        <v>3900000</v>
      </c>
    </row>
    <row r="10" spans="2:14" x14ac:dyDescent="0.25">
      <c r="B10" s="10">
        <v>45085</v>
      </c>
      <c r="C10" s="13">
        <v>246</v>
      </c>
      <c r="D10" s="14" t="s">
        <v>15</v>
      </c>
      <c r="E10" s="1" t="s">
        <v>23</v>
      </c>
      <c r="F10" s="3">
        <v>3000000</v>
      </c>
      <c r="G10" s="17">
        <v>3400000</v>
      </c>
      <c r="H10" s="3"/>
      <c r="I10" s="3"/>
      <c r="J10" s="3"/>
      <c r="K10" s="3"/>
      <c r="L10" s="3"/>
      <c r="M10" s="4">
        <f t="shared" ref="M10:M11" si="1">SUM(H10:L10)</f>
        <v>0</v>
      </c>
      <c r="N10" s="4">
        <f t="shared" ref="N10" si="2">G10-M10</f>
        <v>3400000</v>
      </c>
    </row>
    <row r="11" spans="2:14" x14ac:dyDescent="0.25">
      <c r="B11" s="10"/>
      <c r="C11" s="14">
        <v>48</v>
      </c>
      <c r="D11" s="14" t="s">
        <v>15</v>
      </c>
      <c r="E11" s="1" t="s">
        <v>68</v>
      </c>
      <c r="F11" s="3">
        <v>1500000</v>
      </c>
      <c r="G11" s="29">
        <v>350000</v>
      </c>
      <c r="H11" s="3"/>
      <c r="I11" s="3"/>
      <c r="J11" s="3"/>
      <c r="K11" s="3"/>
      <c r="L11" s="31"/>
      <c r="M11" s="4">
        <f t="shared" si="1"/>
        <v>0</v>
      </c>
      <c r="N11" s="4">
        <f>G11-M11</f>
        <v>350000</v>
      </c>
    </row>
    <row r="12" spans="2:14" ht="15" customHeight="1" x14ac:dyDescent="0.25">
      <c r="B12" s="10">
        <v>45680</v>
      </c>
      <c r="C12" s="13">
        <v>861</v>
      </c>
      <c r="D12" s="14" t="s">
        <v>15</v>
      </c>
      <c r="E12" s="1" t="s">
        <v>87</v>
      </c>
      <c r="F12" s="3">
        <v>700000</v>
      </c>
      <c r="G12" s="29">
        <v>340000</v>
      </c>
      <c r="H12" s="3"/>
      <c r="I12" s="3"/>
      <c r="J12" s="3"/>
      <c r="K12" s="3"/>
      <c r="L12" s="3"/>
      <c r="M12" s="30">
        <f>SUM(H12:L12)</f>
        <v>0</v>
      </c>
      <c r="N12" s="4">
        <f t="shared" ref="N12:N15" si="3">G12-M12</f>
        <v>340000</v>
      </c>
    </row>
    <row r="13" spans="2:14" ht="15" customHeight="1" x14ac:dyDescent="0.25">
      <c r="B13" s="10"/>
      <c r="C13" s="13">
        <v>625</v>
      </c>
      <c r="D13" s="14" t="s">
        <v>15</v>
      </c>
      <c r="E13" s="1" t="s">
        <v>43</v>
      </c>
      <c r="F13" s="3">
        <v>2000000</v>
      </c>
      <c r="G13" s="29">
        <v>600000</v>
      </c>
      <c r="H13" s="3"/>
      <c r="I13" s="3">
        <v>50000</v>
      </c>
      <c r="J13" s="3">
        <v>50000</v>
      </c>
      <c r="K13" s="3"/>
      <c r="L13" s="3"/>
      <c r="M13" s="30">
        <f t="shared" ref="M13" si="4">SUM(H13:L13)</f>
        <v>100000</v>
      </c>
      <c r="N13" s="4">
        <f t="shared" si="3"/>
        <v>500000</v>
      </c>
    </row>
    <row r="14" spans="2:14" ht="14.25" customHeight="1" x14ac:dyDescent="0.25">
      <c r="B14" s="10"/>
      <c r="C14" s="13">
        <v>499</v>
      </c>
      <c r="D14" s="14" t="s">
        <v>15</v>
      </c>
      <c r="E14" s="1" t="s">
        <v>25</v>
      </c>
      <c r="F14" s="3">
        <v>2000000</v>
      </c>
      <c r="G14" s="29">
        <v>2100000</v>
      </c>
      <c r="H14" s="3">
        <v>50000</v>
      </c>
      <c r="I14" s="3"/>
      <c r="J14" s="3"/>
      <c r="K14" s="3"/>
      <c r="L14" s="3"/>
      <c r="M14" s="30">
        <f>SUM(H14:L14)</f>
        <v>50000</v>
      </c>
      <c r="N14" s="4">
        <f t="shared" si="3"/>
        <v>2050000</v>
      </c>
    </row>
    <row r="15" spans="2:14" ht="15.75" customHeight="1" x14ac:dyDescent="0.25">
      <c r="B15" s="10"/>
      <c r="C15" s="13">
        <v>194</v>
      </c>
      <c r="D15" s="14" t="s">
        <v>16</v>
      </c>
      <c r="E15" s="1" t="s">
        <v>26</v>
      </c>
      <c r="F15" s="3">
        <v>1000000</v>
      </c>
      <c r="G15" s="29">
        <v>450000</v>
      </c>
      <c r="H15" s="3"/>
      <c r="I15" s="3"/>
      <c r="J15" s="3"/>
      <c r="K15" s="3"/>
      <c r="L15" s="3"/>
      <c r="M15" s="30">
        <f t="shared" ref="M15" si="5">SUM(H15:L15)</f>
        <v>0</v>
      </c>
      <c r="N15" s="4">
        <f t="shared" si="3"/>
        <v>450000</v>
      </c>
    </row>
    <row r="16" spans="2:14" ht="17.25" customHeight="1" x14ac:dyDescent="0.25">
      <c r="B16" s="1"/>
      <c r="C16" s="13">
        <v>150</v>
      </c>
      <c r="D16" s="14" t="s">
        <v>15</v>
      </c>
      <c r="E16" s="1" t="s">
        <v>62</v>
      </c>
      <c r="F16" s="3">
        <v>2200000</v>
      </c>
      <c r="G16" s="29">
        <f t="shared" ref="G16" si="6">F16*120%</f>
        <v>2640000</v>
      </c>
      <c r="H16" s="1"/>
      <c r="I16" s="31"/>
      <c r="J16" s="1"/>
      <c r="K16" s="31"/>
      <c r="L16" s="1"/>
      <c r="M16" s="1"/>
      <c r="N16" s="4">
        <f t="shared" ref="N16" si="7">G16-M16</f>
        <v>2640000</v>
      </c>
    </row>
    <row r="17" spans="2:14" ht="15" customHeight="1" x14ac:dyDescent="0.25">
      <c r="B17" s="21"/>
      <c r="C17" s="23"/>
      <c r="D17" s="23"/>
      <c r="E17" s="24"/>
      <c r="F17" s="19">
        <f t="shared" ref="F17:M17" si="8">SUM(F9:F16)</f>
        <v>17400000</v>
      </c>
      <c r="G17" s="25">
        <f t="shared" si="8"/>
        <v>13780000</v>
      </c>
      <c r="H17" s="19">
        <f t="shared" si="8"/>
        <v>50000</v>
      </c>
      <c r="I17" s="19">
        <f t="shared" si="8"/>
        <v>50000</v>
      </c>
      <c r="J17" s="19">
        <f t="shared" si="8"/>
        <v>50000</v>
      </c>
      <c r="K17" s="19">
        <f t="shared" si="8"/>
        <v>0</v>
      </c>
      <c r="L17" s="19">
        <f t="shared" si="8"/>
        <v>0</v>
      </c>
      <c r="M17" s="19">
        <f t="shared" si="8"/>
        <v>150000</v>
      </c>
      <c r="N17" s="20">
        <f t="shared" ref="N17" si="9">G17-M17</f>
        <v>13630000</v>
      </c>
    </row>
    <row r="18" spans="2:14" ht="15" customHeight="1" thickBot="1" x14ac:dyDescent="0.3"/>
    <row r="19" spans="2:14" ht="15" customHeight="1" x14ac:dyDescent="0.25">
      <c r="B19" s="65" t="s">
        <v>0</v>
      </c>
      <c r="C19" s="6" t="s">
        <v>1</v>
      </c>
      <c r="D19" s="6"/>
      <c r="E19" s="67" t="s">
        <v>4</v>
      </c>
      <c r="F19" s="67" t="s">
        <v>5</v>
      </c>
      <c r="G19" s="69" t="s">
        <v>6</v>
      </c>
      <c r="H19" s="6"/>
      <c r="I19" s="6"/>
      <c r="J19" s="6"/>
      <c r="K19" s="6"/>
      <c r="L19" s="6"/>
      <c r="M19" s="67" t="s">
        <v>7</v>
      </c>
      <c r="N19" s="63" t="s">
        <v>8</v>
      </c>
    </row>
    <row r="20" spans="2:14" ht="15" customHeight="1" thickBot="1" x14ac:dyDescent="0.3">
      <c r="B20" s="66"/>
      <c r="C20" s="5" t="s">
        <v>2</v>
      </c>
      <c r="D20" s="5" t="s">
        <v>3</v>
      </c>
      <c r="E20" s="68"/>
      <c r="F20" s="68"/>
      <c r="G20" s="70"/>
      <c r="H20" s="5">
        <v>7</v>
      </c>
      <c r="I20" s="5">
        <v>21</v>
      </c>
      <c r="J20" s="5">
        <v>28</v>
      </c>
      <c r="K20" s="5"/>
      <c r="L20" s="5"/>
      <c r="M20" s="68"/>
      <c r="N20" s="64"/>
    </row>
    <row r="21" spans="2:14" ht="15" customHeight="1" x14ac:dyDescent="0.25">
      <c r="B21" s="10">
        <v>46035</v>
      </c>
      <c r="C21" s="13">
        <v>1105</v>
      </c>
      <c r="D21" s="14" t="s">
        <v>15</v>
      </c>
      <c r="E21" s="1" t="s">
        <v>190</v>
      </c>
      <c r="F21" s="3">
        <v>1500000</v>
      </c>
      <c r="G21" s="29">
        <v>1050000</v>
      </c>
      <c r="H21" s="3">
        <v>150000</v>
      </c>
      <c r="I21" s="3"/>
      <c r="J21" s="3">
        <v>900000</v>
      </c>
      <c r="K21" s="3"/>
      <c r="L21" s="3"/>
      <c r="M21" s="30">
        <f t="shared" ref="M21:M22" si="10">SUM(H21:L21)</f>
        <v>1050000</v>
      </c>
      <c r="N21" s="4">
        <f t="shared" ref="N21:N34" si="11">G21-M21</f>
        <v>0</v>
      </c>
    </row>
    <row r="22" spans="2:14" ht="15" customHeight="1" x14ac:dyDescent="0.25">
      <c r="B22" s="10">
        <v>46037</v>
      </c>
      <c r="C22" s="13">
        <v>791</v>
      </c>
      <c r="D22" s="14" t="s">
        <v>16</v>
      </c>
      <c r="E22" s="1" t="s">
        <v>195</v>
      </c>
      <c r="F22" s="3">
        <v>500000</v>
      </c>
      <c r="G22" s="29">
        <v>250000</v>
      </c>
      <c r="H22" s="3">
        <v>50000</v>
      </c>
      <c r="I22" s="3">
        <v>50000</v>
      </c>
      <c r="J22" s="3">
        <v>150000</v>
      </c>
      <c r="K22" s="3"/>
      <c r="L22" s="3"/>
      <c r="M22" s="4">
        <f t="shared" si="10"/>
        <v>250000</v>
      </c>
      <c r="N22" s="4">
        <f t="shared" si="11"/>
        <v>0</v>
      </c>
    </row>
    <row r="23" spans="2:14" ht="15" customHeight="1" x14ac:dyDescent="0.25">
      <c r="B23" s="54">
        <v>46044</v>
      </c>
      <c r="C23" s="55">
        <v>1018</v>
      </c>
      <c r="D23" s="56" t="s">
        <v>16</v>
      </c>
      <c r="E23" s="57" t="s">
        <v>103</v>
      </c>
      <c r="F23" s="58">
        <v>400000</v>
      </c>
      <c r="G23" s="51">
        <v>90000</v>
      </c>
      <c r="H23" s="58"/>
      <c r="I23" s="58">
        <v>90000</v>
      </c>
      <c r="J23" s="58"/>
      <c r="K23" s="58"/>
      <c r="L23" s="58"/>
      <c r="M23" s="60">
        <f>SUM(H23:L23)</f>
        <v>90000</v>
      </c>
      <c r="N23" s="60">
        <f t="shared" si="11"/>
        <v>0</v>
      </c>
    </row>
    <row r="24" spans="2:14" ht="15" customHeight="1" x14ac:dyDescent="0.25">
      <c r="B24" s="54"/>
      <c r="C24" s="55">
        <v>1008</v>
      </c>
      <c r="D24" s="56" t="s">
        <v>15</v>
      </c>
      <c r="E24" s="57" t="s">
        <v>103</v>
      </c>
      <c r="F24" s="58">
        <v>1000000</v>
      </c>
      <c r="G24" s="51">
        <v>790000</v>
      </c>
      <c r="H24" s="58"/>
      <c r="I24" s="58">
        <v>790000</v>
      </c>
      <c r="J24" s="58"/>
      <c r="K24" s="58"/>
      <c r="L24" s="58"/>
      <c r="M24" s="59">
        <f>SUM(H24:L24)</f>
        <v>790000</v>
      </c>
      <c r="N24" s="60">
        <f t="shared" si="11"/>
        <v>0</v>
      </c>
    </row>
    <row r="25" spans="2:14" ht="15" customHeight="1" x14ac:dyDescent="0.25">
      <c r="B25" s="54"/>
      <c r="C25" s="55">
        <v>181</v>
      </c>
      <c r="D25" s="56" t="s">
        <v>15</v>
      </c>
      <c r="E25" s="57" t="s">
        <v>160</v>
      </c>
      <c r="F25" s="58">
        <v>1000000</v>
      </c>
      <c r="G25" s="51">
        <v>750000</v>
      </c>
      <c r="H25" s="58">
        <v>750000</v>
      </c>
      <c r="I25" s="58"/>
      <c r="J25" s="58"/>
      <c r="K25" s="58"/>
      <c r="L25" s="58"/>
      <c r="M25" s="59">
        <f>SUM(H25:L25)</f>
        <v>750000</v>
      </c>
      <c r="N25" s="60">
        <f t="shared" si="11"/>
        <v>0</v>
      </c>
    </row>
    <row r="26" spans="2:14" x14ac:dyDescent="0.25">
      <c r="B26" s="54"/>
      <c r="C26" s="55">
        <v>1033</v>
      </c>
      <c r="D26" s="56" t="s">
        <v>16</v>
      </c>
      <c r="E26" s="57" t="s">
        <v>201</v>
      </c>
      <c r="F26" s="58">
        <v>2000000</v>
      </c>
      <c r="G26" s="51">
        <v>1100000</v>
      </c>
      <c r="H26" s="58">
        <v>1100000</v>
      </c>
      <c r="I26" s="58"/>
      <c r="J26" s="58"/>
      <c r="K26" s="58"/>
      <c r="L26" s="58"/>
      <c r="M26" s="59">
        <f t="shared" ref="M26" si="12">SUM(H26:L26)</f>
        <v>1100000</v>
      </c>
      <c r="N26" s="60">
        <f t="shared" si="11"/>
        <v>0</v>
      </c>
    </row>
    <row r="27" spans="2:14" ht="15" customHeight="1" x14ac:dyDescent="0.25">
      <c r="B27" s="10">
        <v>46048</v>
      </c>
      <c r="C27" s="13">
        <v>1140</v>
      </c>
      <c r="D27" s="14" t="s">
        <v>15</v>
      </c>
      <c r="E27" s="1" t="s">
        <v>203</v>
      </c>
      <c r="F27" s="3">
        <v>4000000</v>
      </c>
      <c r="G27" s="29">
        <f t="shared" ref="G27:G33" si="13">F27*120%</f>
        <v>4800000</v>
      </c>
      <c r="H27" s="3"/>
      <c r="I27" s="3"/>
      <c r="J27" s="3">
        <v>4800000</v>
      </c>
      <c r="K27" s="3"/>
      <c r="L27" s="3"/>
      <c r="M27" s="30">
        <f>SUM(J27:L27)</f>
        <v>4800000</v>
      </c>
      <c r="N27" s="4">
        <f t="shared" si="11"/>
        <v>0</v>
      </c>
    </row>
    <row r="28" spans="2:14" ht="15" customHeight="1" x14ac:dyDescent="0.25">
      <c r="B28" s="54">
        <v>46050</v>
      </c>
      <c r="C28" s="55">
        <v>1109</v>
      </c>
      <c r="D28" s="56" t="s">
        <v>16</v>
      </c>
      <c r="E28" s="57" t="s">
        <v>204</v>
      </c>
      <c r="F28" s="58">
        <v>1500000</v>
      </c>
      <c r="G28" s="51">
        <v>1050000</v>
      </c>
      <c r="H28" s="58"/>
      <c r="I28" s="58">
        <v>1050000</v>
      </c>
      <c r="J28" s="58"/>
      <c r="K28" s="58"/>
      <c r="L28" s="58"/>
      <c r="M28" s="59">
        <f t="shared" ref="M28:M32" si="14">SUM(H28:L28)</f>
        <v>1050000</v>
      </c>
      <c r="N28" s="60">
        <f t="shared" si="11"/>
        <v>0</v>
      </c>
    </row>
    <row r="29" spans="2:14" ht="15" customHeight="1" x14ac:dyDescent="0.25">
      <c r="B29" s="54" t="s">
        <v>208</v>
      </c>
      <c r="C29" s="56">
        <v>1068</v>
      </c>
      <c r="D29" s="56" t="s">
        <v>15</v>
      </c>
      <c r="E29" s="57" t="s">
        <v>83</v>
      </c>
      <c r="F29" s="58">
        <v>600000</v>
      </c>
      <c r="G29" s="51">
        <v>240000</v>
      </c>
      <c r="H29" s="58"/>
      <c r="I29" s="58">
        <v>240000</v>
      </c>
      <c r="J29" s="58"/>
      <c r="K29" s="58"/>
      <c r="L29" s="58"/>
      <c r="M29" s="59">
        <f t="shared" si="14"/>
        <v>240000</v>
      </c>
      <c r="N29" s="60">
        <f t="shared" si="11"/>
        <v>0</v>
      </c>
    </row>
    <row r="30" spans="2:14" ht="15" customHeight="1" x14ac:dyDescent="0.25">
      <c r="B30" s="54"/>
      <c r="C30" s="56">
        <v>183</v>
      </c>
      <c r="D30" s="56" t="s">
        <v>16</v>
      </c>
      <c r="E30" s="57" t="s">
        <v>207</v>
      </c>
      <c r="F30" s="58">
        <v>1000000</v>
      </c>
      <c r="G30" s="51">
        <v>300000</v>
      </c>
      <c r="H30" s="58">
        <v>300000</v>
      </c>
      <c r="I30" s="58"/>
      <c r="J30" s="58"/>
      <c r="K30" s="58"/>
      <c r="L30" s="58"/>
      <c r="M30" s="59">
        <f t="shared" si="14"/>
        <v>300000</v>
      </c>
      <c r="N30" s="60">
        <f t="shared" si="11"/>
        <v>0</v>
      </c>
    </row>
    <row r="31" spans="2:14" ht="15" customHeight="1" x14ac:dyDescent="0.25">
      <c r="B31" s="54"/>
      <c r="C31" s="56">
        <v>250</v>
      </c>
      <c r="D31" s="56" t="s">
        <v>15</v>
      </c>
      <c r="E31" s="57" t="s">
        <v>153</v>
      </c>
      <c r="F31" s="58">
        <v>1000000</v>
      </c>
      <c r="G31" s="51">
        <v>1030000</v>
      </c>
      <c r="H31" s="58"/>
      <c r="I31" s="58">
        <v>1030000</v>
      </c>
      <c r="J31" s="58"/>
      <c r="K31" s="58"/>
      <c r="L31" s="58"/>
      <c r="M31" s="59">
        <f t="shared" si="14"/>
        <v>1030000</v>
      </c>
      <c r="N31" s="60">
        <f t="shared" si="11"/>
        <v>0</v>
      </c>
    </row>
    <row r="32" spans="2:14" ht="15" customHeight="1" x14ac:dyDescent="0.25">
      <c r="B32" s="54"/>
      <c r="C32" s="56">
        <v>482</v>
      </c>
      <c r="D32" s="56" t="s">
        <v>15</v>
      </c>
      <c r="E32" s="57" t="s">
        <v>53</v>
      </c>
      <c r="F32" s="58">
        <v>2000000</v>
      </c>
      <c r="G32" s="51">
        <v>2000000</v>
      </c>
      <c r="H32" s="58"/>
      <c r="I32" s="58">
        <v>2000000</v>
      </c>
      <c r="J32" s="58"/>
      <c r="K32" s="58"/>
      <c r="L32" s="58"/>
      <c r="M32" s="59">
        <f t="shared" si="14"/>
        <v>2000000</v>
      </c>
      <c r="N32" s="60">
        <f t="shared" si="11"/>
        <v>0</v>
      </c>
    </row>
    <row r="33" spans="2:14" ht="15" customHeight="1" x14ac:dyDescent="0.25">
      <c r="B33" s="10"/>
      <c r="C33" s="14">
        <v>785</v>
      </c>
      <c r="D33" s="14" t="s">
        <v>15</v>
      </c>
      <c r="E33" s="1" t="s">
        <v>56</v>
      </c>
      <c r="F33" s="3">
        <v>2000000</v>
      </c>
      <c r="G33" s="29">
        <f t="shared" si="13"/>
        <v>2400000</v>
      </c>
      <c r="H33" s="3"/>
      <c r="I33" s="3"/>
      <c r="J33" s="3">
        <v>2400000</v>
      </c>
      <c r="K33" s="3"/>
      <c r="L33" s="3"/>
      <c r="M33" s="30">
        <f>SUM(H33:L33)</f>
        <v>2400000</v>
      </c>
      <c r="N33" s="4">
        <f t="shared" si="11"/>
        <v>0</v>
      </c>
    </row>
    <row r="34" spans="2:14" ht="15" customHeight="1" x14ac:dyDescent="0.25">
      <c r="B34" s="24"/>
      <c r="C34" s="24"/>
      <c r="D34" s="24"/>
      <c r="E34" s="24"/>
      <c r="F34" s="20">
        <f t="shared" ref="F34:M34" si="15">SUM(F21:F33)</f>
        <v>18500000</v>
      </c>
      <c r="G34" s="20">
        <f t="shared" si="15"/>
        <v>15850000</v>
      </c>
      <c r="H34" s="20">
        <f t="shared" si="15"/>
        <v>2350000</v>
      </c>
      <c r="I34" s="20">
        <f t="shared" si="15"/>
        <v>5250000</v>
      </c>
      <c r="J34" s="20">
        <f t="shared" si="15"/>
        <v>8250000</v>
      </c>
      <c r="K34" s="20">
        <f t="shared" si="15"/>
        <v>0</v>
      </c>
      <c r="L34" s="20">
        <f t="shared" si="15"/>
        <v>0</v>
      </c>
      <c r="M34" s="20">
        <f t="shared" si="15"/>
        <v>15850000</v>
      </c>
      <c r="N34" s="33">
        <f t="shared" si="11"/>
        <v>0</v>
      </c>
    </row>
    <row r="35" spans="2:14" ht="15" customHeight="1" thickBot="1" x14ac:dyDescent="0.3"/>
    <row r="36" spans="2:14" ht="15" customHeight="1" x14ac:dyDescent="0.25">
      <c r="B36" s="65" t="s">
        <v>0</v>
      </c>
      <c r="C36" s="6" t="s">
        <v>1</v>
      </c>
      <c r="D36" s="6"/>
      <c r="E36" s="67" t="s">
        <v>4</v>
      </c>
      <c r="F36" s="67" t="s">
        <v>5</v>
      </c>
      <c r="G36" s="69" t="s">
        <v>6</v>
      </c>
      <c r="H36" s="6"/>
      <c r="I36" s="6"/>
      <c r="J36" s="6"/>
      <c r="K36" s="6"/>
      <c r="L36" s="6"/>
      <c r="M36" s="67" t="s">
        <v>7</v>
      </c>
      <c r="N36" s="63" t="s">
        <v>8</v>
      </c>
    </row>
    <row r="37" spans="2:14" ht="15" customHeight="1" thickBot="1" x14ac:dyDescent="0.3">
      <c r="B37" s="66"/>
      <c r="C37" s="5" t="s">
        <v>2</v>
      </c>
      <c r="D37" s="5" t="s">
        <v>3</v>
      </c>
      <c r="E37" s="68"/>
      <c r="F37" s="68"/>
      <c r="G37" s="70"/>
      <c r="H37" s="5">
        <v>7</v>
      </c>
      <c r="I37" s="5">
        <v>21</v>
      </c>
      <c r="J37" s="5">
        <v>28</v>
      </c>
      <c r="K37" s="5"/>
      <c r="L37" s="5"/>
      <c r="M37" s="68"/>
      <c r="N37" s="64"/>
    </row>
    <row r="38" spans="2:14" x14ac:dyDescent="0.25">
      <c r="B38" s="26">
        <v>46058</v>
      </c>
      <c r="C38" s="13">
        <v>1128</v>
      </c>
      <c r="D38" s="14" t="s">
        <v>15</v>
      </c>
      <c r="E38" s="1" t="s">
        <v>103</v>
      </c>
      <c r="F38" s="3">
        <v>1000000</v>
      </c>
      <c r="G38" s="29">
        <v>750000</v>
      </c>
      <c r="H38" s="27"/>
      <c r="I38" s="27"/>
      <c r="J38" s="27"/>
      <c r="K38" s="27"/>
      <c r="L38" s="27"/>
      <c r="M38" s="28">
        <f t="shared" ref="M38:M41" si="16">SUM(H38:L38)</f>
        <v>0</v>
      </c>
      <c r="N38" s="28">
        <f>G38-M38</f>
        <v>750000</v>
      </c>
    </row>
    <row r="39" spans="2:14" ht="15" customHeight="1" x14ac:dyDescent="0.25">
      <c r="B39" s="54"/>
      <c r="C39" s="55">
        <v>1013</v>
      </c>
      <c r="D39" s="56" t="s">
        <v>15</v>
      </c>
      <c r="E39" s="57" t="s">
        <v>127</v>
      </c>
      <c r="F39" s="58">
        <v>1500000</v>
      </c>
      <c r="G39" s="51">
        <v>1000000</v>
      </c>
      <c r="H39" s="58"/>
      <c r="I39" s="58">
        <v>1000000</v>
      </c>
      <c r="J39" s="58"/>
      <c r="K39" s="58"/>
      <c r="L39" s="58"/>
      <c r="M39" s="59">
        <f t="shared" si="16"/>
        <v>1000000</v>
      </c>
      <c r="N39" s="60">
        <f t="shared" ref="N39:N47" si="17">G39-M39</f>
        <v>0</v>
      </c>
    </row>
    <row r="40" spans="2:14" ht="15" customHeight="1" x14ac:dyDescent="0.25">
      <c r="B40" s="10">
        <v>46062</v>
      </c>
      <c r="C40" s="13">
        <v>443</v>
      </c>
      <c r="D40" s="14" t="s">
        <v>15</v>
      </c>
      <c r="E40" s="1" t="s">
        <v>96</v>
      </c>
      <c r="F40" s="3">
        <v>5000000</v>
      </c>
      <c r="G40" s="29">
        <v>2625000</v>
      </c>
      <c r="H40" s="3">
        <v>375000</v>
      </c>
      <c r="I40" s="3">
        <v>375000</v>
      </c>
      <c r="J40" s="3">
        <v>375000</v>
      </c>
      <c r="K40" s="3"/>
      <c r="L40" s="3"/>
      <c r="M40" s="30">
        <f>SUM(H40:L40)</f>
        <v>1125000</v>
      </c>
      <c r="N40" s="4">
        <f t="shared" si="17"/>
        <v>1500000</v>
      </c>
    </row>
    <row r="41" spans="2:14" ht="15" customHeight="1" x14ac:dyDescent="0.25">
      <c r="B41" s="10">
        <v>46065</v>
      </c>
      <c r="C41" s="13">
        <v>1110</v>
      </c>
      <c r="D41" s="14" t="s">
        <v>15</v>
      </c>
      <c r="E41" s="1" t="s">
        <v>220</v>
      </c>
      <c r="F41" s="3">
        <v>700000</v>
      </c>
      <c r="G41" s="29">
        <v>670000</v>
      </c>
      <c r="H41" s="3"/>
      <c r="I41" s="3">
        <v>50000</v>
      </c>
      <c r="J41" s="3">
        <v>70000</v>
      </c>
      <c r="K41" s="3"/>
      <c r="L41" s="3"/>
      <c r="M41" s="4">
        <f t="shared" si="16"/>
        <v>120000</v>
      </c>
      <c r="N41" s="4">
        <f t="shared" si="17"/>
        <v>550000</v>
      </c>
    </row>
    <row r="42" spans="2:14" ht="14.25" customHeight="1" x14ac:dyDescent="0.25">
      <c r="B42" s="10"/>
      <c r="C42" s="13">
        <v>492</v>
      </c>
      <c r="D42" s="14" t="s">
        <v>15</v>
      </c>
      <c r="E42" s="1" t="s">
        <v>69</v>
      </c>
      <c r="F42" s="3">
        <v>1000000</v>
      </c>
      <c r="G42" s="29">
        <v>670000</v>
      </c>
      <c r="H42" s="3"/>
      <c r="I42" s="3">
        <v>70000</v>
      </c>
      <c r="J42" s="3">
        <v>50000</v>
      </c>
      <c r="K42" s="3"/>
      <c r="L42" s="3"/>
      <c r="M42" s="4">
        <f>SUM(H42:L42)</f>
        <v>120000</v>
      </c>
      <c r="N42" s="4">
        <f t="shared" si="17"/>
        <v>550000</v>
      </c>
    </row>
    <row r="43" spans="2:14" ht="15" customHeight="1" x14ac:dyDescent="0.25">
      <c r="B43" s="10"/>
      <c r="C43" s="13">
        <v>338</v>
      </c>
      <c r="D43" s="14" t="s">
        <v>15</v>
      </c>
      <c r="E43" s="1" t="s">
        <v>123</v>
      </c>
      <c r="F43" s="3">
        <v>1200000</v>
      </c>
      <c r="G43" s="29">
        <v>1270000</v>
      </c>
      <c r="H43" s="3">
        <v>100000</v>
      </c>
      <c r="I43" s="3">
        <v>100000</v>
      </c>
      <c r="J43" s="3"/>
      <c r="K43" s="3"/>
      <c r="L43" s="3"/>
      <c r="M43" s="30">
        <f>SUM(H43:L43)</f>
        <v>200000</v>
      </c>
      <c r="N43" s="4">
        <f t="shared" si="17"/>
        <v>1070000</v>
      </c>
    </row>
    <row r="44" spans="2:14" ht="15" customHeight="1" x14ac:dyDescent="0.25">
      <c r="B44" s="10">
        <v>46079</v>
      </c>
      <c r="C44" s="13">
        <v>1160</v>
      </c>
      <c r="D44" s="14" t="s">
        <v>15</v>
      </c>
      <c r="E44" s="1" t="s">
        <v>70</v>
      </c>
      <c r="F44" s="3">
        <v>900000</v>
      </c>
      <c r="G44" s="29">
        <v>880000</v>
      </c>
      <c r="H44" s="3"/>
      <c r="I44" s="3">
        <v>50000</v>
      </c>
      <c r="J44" s="3"/>
      <c r="K44" s="3"/>
      <c r="L44" s="3"/>
      <c r="M44" s="30">
        <f t="shared" ref="M44" si="18">SUM(H44:L44)</f>
        <v>50000</v>
      </c>
      <c r="N44" s="4">
        <f t="shared" si="17"/>
        <v>830000</v>
      </c>
    </row>
    <row r="45" spans="2:14" ht="13.5" customHeight="1" x14ac:dyDescent="0.25">
      <c r="B45" s="10"/>
      <c r="C45" s="13">
        <v>1143</v>
      </c>
      <c r="D45" s="14" t="s">
        <v>15</v>
      </c>
      <c r="E45" s="1" t="s">
        <v>231</v>
      </c>
      <c r="F45" s="3">
        <v>1000000</v>
      </c>
      <c r="G45" s="29">
        <v>800000</v>
      </c>
      <c r="H45" s="3">
        <v>50000</v>
      </c>
      <c r="I45" s="3">
        <v>100000</v>
      </c>
      <c r="J45" s="3">
        <v>50000</v>
      </c>
      <c r="K45" s="3"/>
      <c r="L45" s="3"/>
      <c r="M45" s="30">
        <f>SUM(H45:L45)</f>
        <v>200000</v>
      </c>
      <c r="N45" s="4">
        <f t="shared" si="17"/>
        <v>600000</v>
      </c>
    </row>
    <row r="46" spans="2:14" ht="15" customHeight="1" x14ac:dyDescent="0.25">
      <c r="B46" s="10"/>
      <c r="C46" s="13">
        <v>699</v>
      </c>
      <c r="D46" s="14" t="s">
        <v>15</v>
      </c>
      <c r="E46" s="1" t="s">
        <v>21</v>
      </c>
      <c r="F46" s="3">
        <v>1200000</v>
      </c>
      <c r="G46" s="29">
        <v>1080000</v>
      </c>
      <c r="H46" s="3">
        <v>50000</v>
      </c>
      <c r="I46" s="3">
        <v>50000</v>
      </c>
      <c r="J46" s="3">
        <v>100000</v>
      </c>
      <c r="K46" s="3"/>
      <c r="L46" s="3"/>
      <c r="M46" s="30">
        <f>SUM(H46:L46)</f>
        <v>200000</v>
      </c>
      <c r="N46" s="4">
        <f t="shared" si="17"/>
        <v>880000</v>
      </c>
    </row>
    <row r="47" spans="2:14" ht="15" customHeight="1" x14ac:dyDescent="0.25">
      <c r="B47" s="21"/>
      <c r="C47" s="23"/>
      <c r="D47" s="23"/>
      <c r="E47" s="24"/>
      <c r="F47" s="19">
        <f t="shared" ref="F47:M47" si="19">SUM(F38:F46)</f>
        <v>13500000</v>
      </c>
      <c r="G47" s="25">
        <f t="shared" si="19"/>
        <v>9745000</v>
      </c>
      <c r="H47" s="19">
        <f t="shared" si="19"/>
        <v>575000</v>
      </c>
      <c r="I47" s="19">
        <f t="shared" si="19"/>
        <v>1795000</v>
      </c>
      <c r="J47" s="19">
        <f t="shared" si="19"/>
        <v>645000</v>
      </c>
      <c r="K47" s="19">
        <f t="shared" si="19"/>
        <v>0</v>
      </c>
      <c r="L47" s="19">
        <f t="shared" si="19"/>
        <v>0</v>
      </c>
      <c r="M47" s="19">
        <f t="shared" si="19"/>
        <v>3015000</v>
      </c>
      <c r="N47" s="20">
        <f t="shared" si="17"/>
        <v>6730000</v>
      </c>
    </row>
    <row r="48" spans="2:14" ht="15.75" thickBot="1" x14ac:dyDescent="0.3"/>
    <row r="49" spans="2:14" ht="15" customHeight="1" x14ac:dyDescent="0.25">
      <c r="B49" s="65" t="s">
        <v>0</v>
      </c>
      <c r="C49" s="6" t="s">
        <v>1</v>
      </c>
      <c r="D49" s="6"/>
      <c r="E49" s="67" t="s">
        <v>4</v>
      </c>
      <c r="F49" s="67" t="s">
        <v>5</v>
      </c>
      <c r="G49" s="69" t="s">
        <v>6</v>
      </c>
      <c r="H49" s="6"/>
      <c r="I49" s="6"/>
      <c r="J49" s="6"/>
      <c r="K49" s="6"/>
      <c r="L49" s="6"/>
      <c r="M49" s="67" t="s">
        <v>7</v>
      </c>
      <c r="N49" s="63" t="s">
        <v>8</v>
      </c>
    </row>
    <row r="50" spans="2:14" ht="15" customHeight="1" thickBot="1" x14ac:dyDescent="0.3">
      <c r="B50" s="66"/>
      <c r="C50" s="5" t="s">
        <v>2</v>
      </c>
      <c r="D50" s="5" t="s">
        <v>3</v>
      </c>
      <c r="E50" s="68"/>
      <c r="F50" s="68"/>
      <c r="G50" s="70"/>
      <c r="H50" s="5">
        <v>7</v>
      </c>
      <c r="I50" s="5">
        <v>21</v>
      </c>
      <c r="J50" s="5">
        <v>28</v>
      </c>
      <c r="K50" s="5"/>
      <c r="L50" s="5"/>
      <c r="M50" s="68"/>
      <c r="N50" s="64"/>
    </row>
    <row r="51" spans="2:14" ht="15" customHeight="1" x14ac:dyDescent="0.25">
      <c r="B51" s="26">
        <v>46086</v>
      </c>
      <c r="C51" s="13">
        <v>966</v>
      </c>
      <c r="D51" s="14" t="s">
        <v>15</v>
      </c>
      <c r="E51" s="1" t="s">
        <v>99</v>
      </c>
      <c r="F51" s="3">
        <v>1000000</v>
      </c>
      <c r="G51" s="35">
        <v>900000</v>
      </c>
      <c r="H51" s="34"/>
      <c r="I51" s="34">
        <v>150000</v>
      </c>
      <c r="J51" s="34"/>
      <c r="K51" s="34"/>
      <c r="L51" s="27"/>
      <c r="M51" s="28">
        <f t="shared" ref="M51:M53" si="20">SUM(H51:L51)</f>
        <v>150000</v>
      </c>
      <c r="N51" s="28">
        <f>G51-M51</f>
        <v>750000</v>
      </c>
    </row>
    <row r="52" spans="2:14" x14ac:dyDescent="0.25">
      <c r="B52" s="10"/>
      <c r="C52" s="13">
        <v>341</v>
      </c>
      <c r="D52" s="14" t="s">
        <v>16</v>
      </c>
      <c r="E52" s="1" t="s">
        <v>245</v>
      </c>
      <c r="F52" s="3">
        <v>1000000</v>
      </c>
      <c r="G52" s="35">
        <v>1100000</v>
      </c>
      <c r="H52" s="31">
        <v>50000</v>
      </c>
      <c r="I52" s="31">
        <v>50000</v>
      </c>
      <c r="J52" s="31"/>
      <c r="K52" s="31"/>
      <c r="L52" s="3"/>
      <c r="M52" s="30">
        <f t="shared" si="20"/>
        <v>100000</v>
      </c>
      <c r="N52" s="4">
        <f t="shared" ref="N52:N60" si="21">G52-M52</f>
        <v>1000000</v>
      </c>
    </row>
    <row r="53" spans="2:14" x14ac:dyDescent="0.25">
      <c r="B53" s="10"/>
      <c r="C53" s="13">
        <v>919</v>
      </c>
      <c r="D53" s="14" t="s">
        <v>15</v>
      </c>
      <c r="E53" s="1" t="s">
        <v>246</v>
      </c>
      <c r="F53" s="3">
        <v>1000000</v>
      </c>
      <c r="G53" s="35">
        <v>700000</v>
      </c>
      <c r="H53" s="31">
        <v>90000</v>
      </c>
      <c r="I53" s="31">
        <v>100000</v>
      </c>
      <c r="J53" s="31">
        <v>100000</v>
      </c>
      <c r="K53" s="31"/>
      <c r="L53" s="3"/>
      <c r="M53" s="4">
        <f t="shared" si="20"/>
        <v>290000</v>
      </c>
      <c r="N53" s="4">
        <f t="shared" si="21"/>
        <v>410000</v>
      </c>
    </row>
    <row r="54" spans="2:14" x14ac:dyDescent="0.25">
      <c r="B54" s="54"/>
      <c r="C54" s="55">
        <v>565</v>
      </c>
      <c r="D54" s="56" t="s">
        <v>15</v>
      </c>
      <c r="E54" s="57" t="s">
        <v>31</v>
      </c>
      <c r="F54" s="58">
        <v>1500000</v>
      </c>
      <c r="G54" s="62">
        <v>1100000</v>
      </c>
      <c r="H54" s="61">
        <v>300000</v>
      </c>
      <c r="I54" s="61">
        <v>800000</v>
      </c>
      <c r="J54" s="61"/>
      <c r="K54" s="61"/>
      <c r="L54" s="58"/>
      <c r="M54" s="58">
        <f>SUM(H54:L54)</f>
        <v>1100000</v>
      </c>
      <c r="N54" s="60">
        <f t="shared" si="21"/>
        <v>0</v>
      </c>
    </row>
    <row r="55" spans="2:14" ht="15" customHeight="1" x14ac:dyDescent="0.25">
      <c r="B55" s="10"/>
      <c r="C55" s="13">
        <v>304</v>
      </c>
      <c r="D55" s="14" t="s">
        <v>15</v>
      </c>
      <c r="E55" s="1" t="s">
        <v>135</v>
      </c>
      <c r="F55" s="3">
        <v>1500000</v>
      </c>
      <c r="G55" s="35">
        <v>1050000</v>
      </c>
      <c r="H55" s="31">
        <v>150000</v>
      </c>
      <c r="I55" s="31">
        <v>150000</v>
      </c>
      <c r="J55" s="31">
        <v>150000</v>
      </c>
      <c r="K55" s="31"/>
      <c r="L55" s="3"/>
      <c r="M55" s="4">
        <f>SUM(H55:L55)</f>
        <v>450000</v>
      </c>
      <c r="N55" s="4">
        <f t="shared" si="21"/>
        <v>600000</v>
      </c>
    </row>
    <row r="56" spans="2:14" ht="15" customHeight="1" x14ac:dyDescent="0.25">
      <c r="B56" s="10"/>
      <c r="C56" s="13">
        <v>1188</v>
      </c>
      <c r="D56" s="14" t="s">
        <v>15</v>
      </c>
      <c r="E56" s="1" t="s">
        <v>221</v>
      </c>
      <c r="F56" s="3">
        <v>1500000</v>
      </c>
      <c r="G56" s="35">
        <v>1300000</v>
      </c>
      <c r="H56" s="31">
        <v>150000</v>
      </c>
      <c r="I56" s="31">
        <v>150000</v>
      </c>
      <c r="J56" s="31">
        <v>150000</v>
      </c>
      <c r="K56" s="31"/>
      <c r="L56" s="3"/>
      <c r="M56" s="30">
        <f>SUM(H56:L56)</f>
        <v>450000</v>
      </c>
      <c r="N56" s="4">
        <f t="shared" si="21"/>
        <v>850000</v>
      </c>
    </row>
    <row r="57" spans="2:14" x14ac:dyDescent="0.25">
      <c r="B57" s="10">
        <v>46093</v>
      </c>
      <c r="C57" s="13">
        <v>403</v>
      </c>
      <c r="D57" s="14" t="s">
        <v>15</v>
      </c>
      <c r="E57" s="1" t="s">
        <v>170</v>
      </c>
      <c r="F57" s="3">
        <v>500000</v>
      </c>
      <c r="G57" s="35">
        <v>555000</v>
      </c>
      <c r="H57" s="31">
        <v>20000</v>
      </c>
      <c r="I57" s="31"/>
      <c r="J57" s="31"/>
      <c r="K57" s="31"/>
      <c r="L57" s="3"/>
      <c r="M57" s="30">
        <f>SUM(H57:L57)</f>
        <v>20000</v>
      </c>
      <c r="N57" s="4">
        <f t="shared" si="21"/>
        <v>535000</v>
      </c>
    </row>
    <row r="58" spans="2:14" ht="15" customHeight="1" x14ac:dyDescent="0.25">
      <c r="B58" s="10"/>
      <c r="C58" s="13">
        <v>825</v>
      </c>
      <c r="D58" s="14" t="s">
        <v>15</v>
      </c>
      <c r="E58" s="1" t="s">
        <v>115</v>
      </c>
      <c r="F58" s="3">
        <v>1000000</v>
      </c>
      <c r="G58" s="35">
        <v>900000</v>
      </c>
      <c r="H58" s="31"/>
      <c r="I58" s="31">
        <v>150000</v>
      </c>
      <c r="J58" s="31"/>
      <c r="K58" s="31"/>
      <c r="L58" s="3"/>
      <c r="M58" s="30">
        <f t="shared" ref="M58" si="22">SUM(H58:L58)</f>
        <v>150000</v>
      </c>
      <c r="N58" s="4">
        <f t="shared" si="21"/>
        <v>750000</v>
      </c>
    </row>
    <row r="59" spans="2:14" ht="15" customHeight="1" x14ac:dyDescent="0.25">
      <c r="B59" s="10"/>
      <c r="C59" s="13">
        <v>146</v>
      </c>
      <c r="D59" s="14" t="s">
        <v>15</v>
      </c>
      <c r="E59" s="1" t="s">
        <v>260</v>
      </c>
      <c r="F59" s="3">
        <v>1000000</v>
      </c>
      <c r="G59" s="35">
        <v>1000000</v>
      </c>
      <c r="H59" s="31"/>
      <c r="I59" s="31">
        <v>100000</v>
      </c>
      <c r="J59" s="31"/>
      <c r="K59" s="31"/>
      <c r="L59" s="3"/>
      <c r="M59" s="30">
        <f>SUM(H59:L59)</f>
        <v>100000</v>
      </c>
      <c r="N59" s="4">
        <f t="shared" si="21"/>
        <v>900000</v>
      </c>
    </row>
    <row r="60" spans="2:14" ht="15" customHeight="1" x14ac:dyDescent="0.25">
      <c r="B60" s="37"/>
      <c r="C60" s="38"/>
      <c r="D60" s="39"/>
      <c r="E60" s="37"/>
      <c r="F60" s="40">
        <f>SUM(F51:F59)</f>
        <v>10000000</v>
      </c>
      <c r="G60" s="41">
        <f>SUM(G51:G59)</f>
        <v>8605000</v>
      </c>
      <c r="H60" s="40">
        <f>SUM(H51:H59)</f>
        <v>760000</v>
      </c>
      <c r="I60" s="40">
        <f t="shared" ref="I60:M60" si="23">SUM(I51:I59)</f>
        <v>1650000</v>
      </c>
      <c r="J60" s="40">
        <f t="shared" si="23"/>
        <v>400000</v>
      </c>
      <c r="K60" s="40">
        <f t="shared" si="23"/>
        <v>0</v>
      </c>
      <c r="L60" s="40">
        <f t="shared" si="23"/>
        <v>0</v>
      </c>
      <c r="M60" s="40">
        <f t="shared" si="23"/>
        <v>2810000</v>
      </c>
      <c r="N60" s="42">
        <f t="shared" si="21"/>
        <v>5795000</v>
      </c>
    </row>
    <row r="61" spans="2:14" ht="15" customHeight="1" thickBot="1" x14ac:dyDescent="0.3"/>
    <row r="62" spans="2:14" ht="15" customHeight="1" x14ac:dyDescent="0.25">
      <c r="B62" s="65" t="s">
        <v>0</v>
      </c>
      <c r="C62" s="6" t="s">
        <v>1</v>
      </c>
      <c r="D62" s="6"/>
      <c r="E62" s="67" t="s">
        <v>4</v>
      </c>
      <c r="F62" s="67" t="s">
        <v>5</v>
      </c>
      <c r="G62" s="69" t="s">
        <v>6</v>
      </c>
      <c r="H62" s="6"/>
      <c r="I62" s="6"/>
      <c r="J62" s="6"/>
      <c r="K62" s="6"/>
      <c r="L62" s="6"/>
      <c r="M62" s="67" t="s">
        <v>7</v>
      </c>
      <c r="N62" s="63" t="s">
        <v>8</v>
      </c>
    </row>
    <row r="63" spans="2:14" ht="15" customHeight="1" thickBot="1" x14ac:dyDescent="0.3">
      <c r="B63" s="66"/>
      <c r="C63" s="5" t="s">
        <v>2</v>
      </c>
      <c r="D63" s="5" t="s">
        <v>3</v>
      </c>
      <c r="E63" s="68"/>
      <c r="F63" s="68"/>
      <c r="G63" s="70"/>
      <c r="H63" s="5">
        <v>7</v>
      </c>
      <c r="I63" s="5">
        <v>21</v>
      </c>
      <c r="J63" s="5">
        <v>28</v>
      </c>
      <c r="K63" s="5"/>
      <c r="L63" s="5"/>
      <c r="M63" s="68"/>
      <c r="N63" s="64"/>
    </row>
    <row r="64" spans="2:14" ht="15" customHeight="1" x14ac:dyDescent="0.25">
      <c r="B64" s="26">
        <v>46114</v>
      </c>
      <c r="C64" s="13">
        <v>101</v>
      </c>
      <c r="D64" s="14" t="s">
        <v>16</v>
      </c>
      <c r="E64" s="1" t="s">
        <v>268</v>
      </c>
      <c r="F64" s="3">
        <v>2000000</v>
      </c>
      <c r="G64" s="35">
        <v>1600000</v>
      </c>
      <c r="H64" s="34">
        <v>200000</v>
      </c>
      <c r="I64" s="34">
        <v>200000</v>
      </c>
      <c r="J64" s="34">
        <v>200000</v>
      </c>
      <c r="K64" s="34"/>
      <c r="L64" s="27"/>
      <c r="M64" s="28">
        <f t="shared" ref="M64:M66" si="24">SUM(H64:L64)</f>
        <v>600000</v>
      </c>
      <c r="N64" s="28">
        <f>G64-M64</f>
        <v>1000000</v>
      </c>
    </row>
    <row r="65" spans="2:14" ht="15" customHeight="1" x14ac:dyDescent="0.25">
      <c r="B65" s="10">
        <v>46121</v>
      </c>
      <c r="C65" s="13">
        <v>133</v>
      </c>
      <c r="D65" s="14" t="s">
        <v>16</v>
      </c>
      <c r="E65" s="1" t="s">
        <v>224</v>
      </c>
      <c r="F65" s="3">
        <v>1000000</v>
      </c>
      <c r="G65" s="35">
        <v>900000</v>
      </c>
      <c r="H65" s="31">
        <v>100000</v>
      </c>
      <c r="I65" s="31">
        <v>100000</v>
      </c>
      <c r="J65" s="31">
        <v>100000</v>
      </c>
      <c r="K65" s="31"/>
      <c r="L65" s="3"/>
      <c r="M65" s="30">
        <f t="shared" si="24"/>
        <v>300000</v>
      </c>
      <c r="N65" s="4">
        <f t="shared" ref="N65:N81" si="25">G65-M65</f>
        <v>600000</v>
      </c>
    </row>
    <row r="66" spans="2:14" ht="15" customHeight="1" x14ac:dyDescent="0.25">
      <c r="B66" s="10"/>
      <c r="C66" s="13">
        <v>447</v>
      </c>
      <c r="D66" s="14" t="s">
        <v>15</v>
      </c>
      <c r="E66" s="1" t="s">
        <v>63</v>
      </c>
      <c r="F66" s="3">
        <v>2000000</v>
      </c>
      <c r="G66" s="35">
        <v>1850000</v>
      </c>
      <c r="H66" s="31">
        <v>150000</v>
      </c>
      <c r="I66" s="31">
        <v>200000</v>
      </c>
      <c r="J66" s="31"/>
      <c r="K66" s="31"/>
      <c r="L66" s="3"/>
      <c r="M66" s="4">
        <f t="shared" si="24"/>
        <v>350000</v>
      </c>
      <c r="N66" s="4">
        <f t="shared" si="25"/>
        <v>1500000</v>
      </c>
    </row>
    <row r="67" spans="2:14" ht="15" customHeight="1" x14ac:dyDescent="0.25">
      <c r="B67" s="10">
        <v>46135</v>
      </c>
      <c r="C67" s="13">
        <v>555</v>
      </c>
      <c r="D67" s="14" t="s">
        <v>15</v>
      </c>
      <c r="E67" s="1" t="s">
        <v>22</v>
      </c>
      <c r="F67" s="3">
        <v>500000</v>
      </c>
      <c r="G67" s="35">
        <v>550000</v>
      </c>
      <c r="H67" s="31">
        <v>30000</v>
      </c>
      <c r="I67" s="31">
        <v>30000</v>
      </c>
      <c r="J67" s="31"/>
      <c r="K67" s="31"/>
      <c r="L67" s="3"/>
      <c r="M67" s="3">
        <f>SUM(H67:L67)</f>
        <v>60000</v>
      </c>
      <c r="N67" s="4">
        <f t="shared" si="25"/>
        <v>490000</v>
      </c>
    </row>
    <row r="68" spans="2:14" ht="15" customHeight="1" x14ac:dyDescent="0.25">
      <c r="B68" s="10"/>
      <c r="C68" s="13">
        <v>991</v>
      </c>
      <c r="D68" s="14" t="s">
        <v>15</v>
      </c>
      <c r="E68" s="1" t="s">
        <v>98</v>
      </c>
      <c r="F68" s="3">
        <v>800000</v>
      </c>
      <c r="G68" s="35">
        <v>910000</v>
      </c>
      <c r="H68" s="31">
        <v>50000</v>
      </c>
      <c r="I68" s="31">
        <v>50000</v>
      </c>
      <c r="J68" s="31">
        <v>50000</v>
      </c>
      <c r="K68" s="31"/>
      <c r="L68" s="3"/>
      <c r="M68" s="4">
        <f>SUM(H68:L68)</f>
        <v>150000</v>
      </c>
      <c r="N68" s="4">
        <f t="shared" si="25"/>
        <v>760000</v>
      </c>
    </row>
    <row r="69" spans="2:14" ht="15" customHeight="1" x14ac:dyDescent="0.25">
      <c r="B69" s="10"/>
      <c r="C69" s="13">
        <v>359</v>
      </c>
      <c r="D69" s="14" t="s">
        <v>15</v>
      </c>
      <c r="E69" s="1" t="s">
        <v>45</v>
      </c>
      <c r="F69" s="3">
        <v>1000000</v>
      </c>
      <c r="G69" s="35">
        <v>1140000</v>
      </c>
      <c r="H69" s="31">
        <v>50000</v>
      </c>
      <c r="I69" s="31">
        <v>50000</v>
      </c>
      <c r="J69" s="31">
        <v>50000</v>
      </c>
      <c r="K69" s="31"/>
      <c r="L69" s="3"/>
      <c r="M69" s="30">
        <f>SUM(H69:L69)</f>
        <v>150000</v>
      </c>
      <c r="N69" s="4">
        <f t="shared" si="25"/>
        <v>990000</v>
      </c>
    </row>
    <row r="70" spans="2:14" ht="15" customHeight="1" x14ac:dyDescent="0.25">
      <c r="B70" s="10"/>
      <c r="C70" s="13">
        <v>222</v>
      </c>
      <c r="D70" s="14" t="s">
        <v>15</v>
      </c>
      <c r="E70" s="1" t="s">
        <v>184</v>
      </c>
      <c r="F70" s="3">
        <v>1000000</v>
      </c>
      <c r="G70" s="35">
        <v>1175000</v>
      </c>
      <c r="H70" s="31"/>
      <c r="I70" s="31"/>
      <c r="J70" s="31">
        <v>100000</v>
      </c>
      <c r="K70" s="31"/>
      <c r="L70" s="3"/>
      <c r="M70" s="30">
        <f>SUM(H70:L70)</f>
        <v>100000</v>
      </c>
      <c r="N70" s="4">
        <f t="shared" si="25"/>
        <v>1075000</v>
      </c>
    </row>
    <row r="71" spans="2:14" ht="15" customHeight="1" x14ac:dyDescent="0.25">
      <c r="B71" s="10"/>
      <c r="C71" s="13">
        <v>766</v>
      </c>
      <c r="D71" s="14" t="s">
        <v>15</v>
      </c>
      <c r="E71" s="1" t="s">
        <v>283</v>
      </c>
      <c r="F71" s="3">
        <v>1000000</v>
      </c>
      <c r="G71" s="35">
        <f t="shared" ref="G71:G80" si="26">F71*120%</f>
        <v>1200000</v>
      </c>
      <c r="H71" s="31"/>
      <c r="I71" s="31">
        <v>100000</v>
      </c>
      <c r="J71" s="31"/>
      <c r="K71" s="31"/>
      <c r="L71" s="3"/>
      <c r="M71" s="30">
        <f t="shared" ref="M71" si="27">SUM(H71:L71)</f>
        <v>100000</v>
      </c>
      <c r="N71" s="4">
        <f t="shared" si="25"/>
        <v>1100000</v>
      </c>
    </row>
    <row r="72" spans="2:14" ht="15" customHeight="1" x14ac:dyDescent="0.25">
      <c r="B72" s="10"/>
      <c r="C72" s="13">
        <v>496</v>
      </c>
      <c r="D72" s="14" t="s">
        <v>15</v>
      </c>
      <c r="E72" s="1" t="s">
        <v>59</v>
      </c>
      <c r="F72" s="3">
        <v>2000000</v>
      </c>
      <c r="G72" s="35">
        <f t="shared" si="26"/>
        <v>2400000</v>
      </c>
      <c r="H72" s="31"/>
      <c r="I72" s="31">
        <v>70000</v>
      </c>
      <c r="J72" s="31"/>
      <c r="K72" s="31"/>
      <c r="L72" s="3"/>
      <c r="M72" s="30">
        <f>SUM(J72:L72)</f>
        <v>0</v>
      </c>
      <c r="N72" s="4">
        <f t="shared" si="25"/>
        <v>2400000</v>
      </c>
    </row>
    <row r="73" spans="2:14" ht="15" customHeight="1" x14ac:dyDescent="0.25">
      <c r="B73" s="10">
        <v>46142</v>
      </c>
      <c r="C73" s="13">
        <v>1</v>
      </c>
      <c r="D73" s="14" t="s">
        <v>15</v>
      </c>
      <c r="E73" s="1" t="s">
        <v>300</v>
      </c>
      <c r="F73" s="31">
        <v>500000</v>
      </c>
      <c r="G73" s="35">
        <f t="shared" si="26"/>
        <v>600000</v>
      </c>
      <c r="H73" s="31"/>
      <c r="I73" s="31">
        <v>150000</v>
      </c>
      <c r="J73" s="31">
        <v>100000</v>
      </c>
      <c r="K73" s="31"/>
      <c r="L73" s="3"/>
      <c r="M73" s="30">
        <f t="shared" ref="M73:M81" si="28">SUM(H73:L73)</f>
        <v>250000</v>
      </c>
      <c r="N73" s="4">
        <f t="shared" si="25"/>
        <v>350000</v>
      </c>
    </row>
    <row r="74" spans="2:14" x14ac:dyDescent="0.25">
      <c r="B74" s="10"/>
      <c r="C74" s="13">
        <v>37</v>
      </c>
      <c r="D74" s="14" t="s">
        <v>15</v>
      </c>
      <c r="E74" s="1" t="s">
        <v>301</v>
      </c>
      <c r="F74" s="31">
        <v>500000</v>
      </c>
      <c r="G74" s="35">
        <f t="shared" si="26"/>
        <v>600000</v>
      </c>
      <c r="H74" s="31"/>
      <c r="I74" s="31">
        <v>150000</v>
      </c>
      <c r="J74" s="31">
        <v>100000</v>
      </c>
      <c r="K74" s="31"/>
      <c r="L74" s="3"/>
      <c r="M74" s="30">
        <f t="shared" si="28"/>
        <v>250000</v>
      </c>
      <c r="N74" s="4">
        <f t="shared" si="25"/>
        <v>350000</v>
      </c>
    </row>
    <row r="75" spans="2:14" x14ac:dyDescent="0.25">
      <c r="B75" s="10"/>
      <c r="C75" s="13">
        <v>426</v>
      </c>
      <c r="D75" s="14" t="s">
        <v>15</v>
      </c>
      <c r="E75" s="1" t="s">
        <v>302</v>
      </c>
      <c r="F75" s="31">
        <v>500000</v>
      </c>
      <c r="G75" s="35">
        <f t="shared" si="26"/>
        <v>600000</v>
      </c>
      <c r="H75" s="31"/>
      <c r="I75" s="31">
        <v>100000</v>
      </c>
      <c r="J75" s="31"/>
      <c r="K75" s="31"/>
      <c r="L75" s="3"/>
      <c r="M75" s="30">
        <f t="shared" si="28"/>
        <v>100000</v>
      </c>
      <c r="N75" s="4">
        <f t="shared" si="25"/>
        <v>500000</v>
      </c>
    </row>
    <row r="76" spans="2:14" ht="15" customHeight="1" x14ac:dyDescent="0.25">
      <c r="B76" s="10"/>
      <c r="C76" s="13">
        <v>471</v>
      </c>
      <c r="D76" s="14" t="s">
        <v>15</v>
      </c>
      <c r="E76" s="1" t="s">
        <v>175</v>
      </c>
      <c r="F76" s="31">
        <v>500000</v>
      </c>
      <c r="G76" s="35">
        <f t="shared" si="26"/>
        <v>600000</v>
      </c>
      <c r="H76" s="31">
        <v>50000</v>
      </c>
      <c r="I76" s="31">
        <v>50000</v>
      </c>
      <c r="J76" s="31"/>
      <c r="K76" s="31"/>
      <c r="L76" s="3"/>
      <c r="M76" s="30">
        <f t="shared" si="28"/>
        <v>100000</v>
      </c>
      <c r="N76" s="4">
        <f t="shared" si="25"/>
        <v>500000</v>
      </c>
    </row>
    <row r="77" spans="2:14" x14ac:dyDescent="0.25">
      <c r="B77" s="10"/>
      <c r="C77" s="13">
        <v>748</v>
      </c>
      <c r="D77" s="14" t="s">
        <v>15</v>
      </c>
      <c r="E77" s="1" t="s">
        <v>303</v>
      </c>
      <c r="F77" s="31">
        <v>800000</v>
      </c>
      <c r="G77" s="35">
        <f t="shared" si="26"/>
        <v>960000</v>
      </c>
      <c r="H77" s="31"/>
      <c r="I77" s="31">
        <v>100000</v>
      </c>
      <c r="J77" s="31"/>
      <c r="K77" s="31"/>
      <c r="L77" s="3"/>
      <c r="M77" s="30">
        <f t="shared" si="28"/>
        <v>100000</v>
      </c>
      <c r="N77" s="4">
        <f t="shared" si="25"/>
        <v>860000</v>
      </c>
    </row>
    <row r="78" spans="2:14" x14ac:dyDescent="0.25">
      <c r="B78" s="10"/>
      <c r="C78" s="13">
        <v>689</v>
      </c>
      <c r="D78" s="14" t="s">
        <v>16</v>
      </c>
      <c r="E78" s="1" t="s">
        <v>185</v>
      </c>
      <c r="F78" s="31">
        <v>1000000</v>
      </c>
      <c r="G78" s="35">
        <f t="shared" si="26"/>
        <v>1200000</v>
      </c>
      <c r="H78" s="31">
        <v>50000</v>
      </c>
      <c r="I78" s="31">
        <v>50000</v>
      </c>
      <c r="J78" s="31">
        <v>50000</v>
      </c>
      <c r="K78" s="31"/>
      <c r="L78" s="3"/>
      <c r="M78" s="30">
        <f t="shared" si="28"/>
        <v>150000</v>
      </c>
      <c r="N78" s="4">
        <f t="shared" si="25"/>
        <v>1050000</v>
      </c>
    </row>
    <row r="79" spans="2:14" x14ac:dyDescent="0.25">
      <c r="B79" s="1"/>
      <c r="C79" s="13">
        <v>789</v>
      </c>
      <c r="D79" s="14" t="s">
        <v>15</v>
      </c>
      <c r="E79" s="1" t="s">
        <v>304</v>
      </c>
      <c r="F79" s="31">
        <v>1000000</v>
      </c>
      <c r="G79" s="35">
        <f t="shared" si="26"/>
        <v>1200000</v>
      </c>
      <c r="H79" s="31">
        <v>100000</v>
      </c>
      <c r="I79" s="31">
        <v>100000</v>
      </c>
      <c r="J79" s="31"/>
      <c r="K79" s="31"/>
      <c r="L79" s="1"/>
      <c r="M79" s="30">
        <f t="shared" si="28"/>
        <v>200000</v>
      </c>
      <c r="N79" s="4">
        <f t="shared" si="25"/>
        <v>1000000</v>
      </c>
    </row>
    <row r="80" spans="2:14" ht="15" customHeight="1" x14ac:dyDescent="0.25">
      <c r="B80" s="10"/>
      <c r="C80" s="13">
        <v>690</v>
      </c>
      <c r="D80" s="14" t="s">
        <v>15</v>
      </c>
      <c r="E80" s="1" t="s">
        <v>305</v>
      </c>
      <c r="F80" s="31">
        <v>1500000</v>
      </c>
      <c r="G80" s="35">
        <f t="shared" si="26"/>
        <v>1800000</v>
      </c>
      <c r="H80" s="31">
        <v>150000</v>
      </c>
      <c r="I80" s="31">
        <v>150000</v>
      </c>
      <c r="J80" s="31">
        <v>100000</v>
      </c>
      <c r="K80" s="31"/>
      <c r="L80" s="1"/>
      <c r="M80" s="31">
        <f t="shared" si="28"/>
        <v>400000</v>
      </c>
      <c r="N80" s="4">
        <f t="shared" si="25"/>
        <v>1400000</v>
      </c>
    </row>
    <row r="81" spans="2:17" ht="15" customHeight="1" x14ac:dyDescent="0.25">
      <c r="B81" s="24"/>
      <c r="C81" s="22"/>
      <c r="D81" s="23"/>
      <c r="E81" s="24"/>
      <c r="F81" s="33">
        <f t="shared" ref="F81:L81" si="29">SUM(F64:F80)</f>
        <v>17600000</v>
      </c>
      <c r="G81" s="36">
        <f t="shared" si="29"/>
        <v>19285000</v>
      </c>
      <c r="H81" s="33">
        <f t="shared" si="29"/>
        <v>930000</v>
      </c>
      <c r="I81" s="33">
        <f t="shared" si="29"/>
        <v>1650000</v>
      </c>
      <c r="J81" s="33">
        <f t="shared" si="29"/>
        <v>850000</v>
      </c>
      <c r="K81" s="33">
        <f t="shared" si="29"/>
        <v>0</v>
      </c>
      <c r="L81" s="20">
        <f t="shared" si="29"/>
        <v>0</v>
      </c>
      <c r="M81" s="43">
        <f t="shared" si="28"/>
        <v>3430000</v>
      </c>
      <c r="N81" s="20">
        <f t="shared" si="25"/>
        <v>15855000</v>
      </c>
    </row>
    <row r="83" spans="2:17" x14ac:dyDescent="0.25">
      <c r="B83" s="7"/>
      <c r="C83" s="7"/>
      <c r="D83" s="7"/>
      <c r="E83" s="9" t="s">
        <v>6</v>
      </c>
      <c r="F83" s="8">
        <f>F17+F34+F47+F60+F81</f>
        <v>77000000</v>
      </c>
      <c r="G83" s="8">
        <f t="shared" ref="G83:M83" si="30">G17+G34+G47+G60+G81</f>
        <v>67265000</v>
      </c>
      <c r="H83" s="8">
        <f t="shared" si="30"/>
        <v>4665000</v>
      </c>
      <c r="I83" s="8">
        <f t="shared" si="30"/>
        <v>10395000</v>
      </c>
      <c r="J83" s="8">
        <f t="shared" si="30"/>
        <v>10195000</v>
      </c>
      <c r="K83" s="8">
        <f t="shared" si="30"/>
        <v>0</v>
      </c>
      <c r="L83" s="8">
        <f t="shared" si="30"/>
        <v>0</v>
      </c>
      <c r="M83" s="8">
        <f t="shared" si="30"/>
        <v>25255000</v>
      </c>
      <c r="N83" s="8">
        <f>G83-M83</f>
        <v>42010000</v>
      </c>
    </row>
    <row r="84" spans="2:17" ht="15.75" thickBot="1" x14ac:dyDescent="0.3">
      <c r="Q84" s="18"/>
    </row>
    <row r="85" spans="2:17" ht="15" customHeight="1" x14ac:dyDescent="0.25">
      <c r="B85" s="65" t="s">
        <v>0</v>
      </c>
      <c r="C85" s="6" t="s">
        <v>1</v>
      </c>
      <c r="D85" s="6"/>
      <c r="E85" s="67" t="s">
        <v>4</v>
      </c>
      <c r="F85" s="67" t="s">
        <v>5</v>
      </c>
      <c r="G85" s="69" t="s">
        <v>6</v>
      </c>
      <c r="H85" s="6"/>
      <c r="I85" s="6"/>
      <c r="J85" s="6"/>
      <c r="K85" s="6"/>
      <c r="L85" s="6"/>
      <c r="M85" s="67" t="s">
        <v>7</v>
      </c>
      <c r="N85" s="63" t="s">
        <v>8</v>
      </c>
      <c r="Q85" s="18"/>
    </row>
    <row r="86" spans="2:17" ht="15.75" thickBot="1" x14ac:dyDescent="0.3">
      <c r="B86" s="66"/>
      <c r="C86" s="5" t="s">
        <v>2</v>
      </c>
      <c r="D86" s="5" t="s">
        <v>3</v>
      </c>
      <c r="E86" s="68"/>
      <c r="F86" s="68"/>
      <c r="G86" s="70"/>
      <c r="H86" s="5">
        <v>7</v>
      </c>
      <c r="I86" s="5">
        <v>21</v>
      </c>
      <c r="J86" s="5">
        <v>28</v>
      </c>
      <c r="K86" s="5"/>
      <c r="L86" s="5"/>
      <c r="M86" s="68"/>
      <c r="N86" s="64"/>
      <c r="Q86" s="18"/>
    </row>
    <row r="87" spans="2:17" x14ac:dyDescent="0.25">
      <c r="B87" s="26">
        <v>46149</v>
      </c>
      <c r="C87" s="13">
        <v>181</v>
      </c>
      <c r="D87" s="14" t="s">
        <v>15</v>
      </c>
      <c r="E87" s="1" t="s">
        <v>160</v>
      </c>
      <c r="F87" s="3">
        <v>800000</v>
      </c>
      <c r="G87" s="35">
        <f>F87*120%</f>
        <v>960000</v>
      </c>
      <c r="H87" s="34"/>
      <c r="I87" s="34">
        <v>50000</v>
      </c>
      <c r="J87" s="34">
        <v>50000</v>
      </c>
      <c r="K87" s="34"/>
      <c r="L87" s="27"/>
      <c r="M87" s="28">
        <f t="shared" ref="M87:M89" si="31">SUM(H87:L87)</f>
        <v>100000</v>
      </c>
      <c r="N87" s="28">
        <f>G87-M87</f>
        <v>860000</v>
      </c>
      <c r="Q87" s="18"/>
    </row>
    <row r="88" spans="2:17" x14ac:dyDescent="0.25">
      <c r="B88" s="10"/>
      <c r="C88" s="13">
        <v>183</v>
      </c>
      <c r="D88" s="14" t="s">
        <v>16</v>
      </c>
      <c r="E88" s="1" t="s">
        <v>311</v>
      </c>
      <c r="F88" s="3">
        <v>1000000</v>
      </c>
      <c r="G88" s="35">
        <f t="shared" ref="G88:G102" si="32">F88*120%</f>
        <v>1200000</v>
      </c>
      <c r="H88" s="31"/>
      <c r="I88" s="31">
        <v>100000</v>
      </c>
      <c r="J88" s="31">
        <v>100000</v>
      </c>
      <c r="K88" s="31"/>
      <c r="L88" s="3"/>
      <c r="M88" s="30">
        <f t="shared" si="31"/>
        <v>200000</v>
      </c>
      <c r="N88" s="4">
        <f t="shared" ref="N88:N103" si="33">G88-M88</f>
        <v>1000000</v>
      </c>
    </row>
    <row r="89" spans="2:17" x14ac:dyDescent="0.25">
      <c r="B89" s="10"/>
      <c r="C89" s="13">
        <v>93</v>
      </c>
      <c r="D89" s="14" t="s">
        <v>16</v>
      </c>
      <c r="E89" s="1" t="s">
        <v>312</v>
      </c>
      <c r="F89" s="3">
        <v>1000000</v>
      </c>
      <c r="G89" s="35">
        <f t="shared" si="32"/>
        <v>1200000</v>
      </c>
      <c r="H89" s="31"/>
      <c r="I89" s="31"/>
      <c r="J89" s="31"/>
      <c r="K89" s="31"/>
      <c r="L89" s="3"/>
      <c r="M89" s="4">
        <f t="shared" si="31"/>
        <v>0</v>
      </c>
      <c r="N89" s="4">
        <f t="shared" si="33"/>
        <v>1200000</v>
      </c>
    </row>
    <row r="90" spans="2:17" x14ac:dyDescent="0.25">
      <c r="B90" s="10"/>
      <c r="C90" s="13">
        <v>300</v>
      </c>
      <c r="D90" s="14" t="s">
        <v>16</v>
      </c>
      <c r="E90" s="1" t="s">
        <v>313</v>
      </c>
      <c r="F90" s="3">
        <v>1000000</v>
      </c>
      <c r="G90" s="35">
        <f t="shared" si="32"/>
        <v>1200000</v>
      </c>
      <c r="H90" s="31"/>
      <c r="I90" s="31"/>
      <c r="J90" s="31"/>
      <c r="K90" s="31"/>
      <c r="L90" s="3"/>
      <c r="M90" s="3">
        <f>SUM(H90:L90)</f>
        <v>0</v>
      </c>
      <c r="N90" s="4">
        <f t="shared" si="33"/>
        <v>1200000</v>
      </c>
    </row>
    <row r="91" spans="2:17" x14ac:dyDescent="0.25">
      <c r="B91" s="10"/>
      <c r="C91" s="13">
        <v>317</v>
      </c>
      <c r="D91" s="14" t="s">
        <v>16</v>
      </c>
      <c r="E91" s="1" t="s">
        <v>314</v>
      </c>
      <c r="F91" s="3">
        <v>1000000</v>
      </c>
      <c r="G91" s="35">
        <f t="shared" si="32"/>
        <v>1200000</v>
      </c>
      <c r="H91" s="31"/>
      <c r="I91" s="31"/>
      <c r="J91" s="31"/>
      <c r="K91" s="31"/>
      <c r="L91" s="3"/>
      <c r="M91" s="4">
        <f>SUM(H91:L91)</f>
        <v>0</v>
      </c>
      <c r="N91" s="4">
        <f t="shared" si="33"/>
        <v>1200000</v>
      </c>
    </row>
    <row r="92" spans="2:17" x14ac:dyDescent="0.25">
      <c r="B92" s="10">
        <v>46163</v>
      </c>
      <c r="C92" s="13">
        <v>1018</v>
      </c>
      <c r="D92" s="14" t="s">
        <v>15</v>
      </c>
      <c r="E92" s="1" t="s">
        <v>103</v>
      </c>
      <c r="F92" s="3">
        <v>500000</v>
      </c>
      <c r="G92" s="35">
        <f t="shared" si="32"/>
        <v>600000</v>
      </c>
      <c r="H92" s="31"/>
      <c r="I92" s="31"/>
      <c r="J92" s="31">
        <v>50000</v>
      </c>
      <c r="K92" s="31"/>
      <c r="L92" s="3"/>
      <c r="M92" s="30">
        <f>SUM(H92:L92)</f>
        <v>50000</v>
      </c>
      <c r="N92" s="4">
        <f t="shared" si="33"/>
        <v>550000</v>
      </c>
    </row>
    <row r="93" spans="2:17" x14ac:dyDescent="0.25">
      <c r="B93" s="10"/>
      <c r="C93" s="13">
        <v>1008</v>
      </c>
      <c r="D93" s="14" t="s">
        <v>15</v>
      </c>
      <c r="E93" s="1" t="s">
        <v>103</v>
      </c>
      <c r="F93" s="3">
        <v>700000</v>
      </c>
      <c r="G93" s="35">
        <f t="shared" si="32"/>
        <v>840000</v>
      </c>
      <c r="H93" s="31"/>
      <c r="I93" s="31"/>
      <c r="J93" s="31"/>
      <c r="K93" s="31"/>
      <c r="L93" s="3"/>
      <c r="M93" s="30">
        <f>SUM(H93:L93)</f>
        <v>0</v>
      </c>
      <c r="N93" s="4">
        <f t="shared" si="33"/>
        <v>840000</v>
      </c>
    </row>
    <row r="94" spans="2:17" x14ac:dyDescent="0.25">
      <c r="B94" s="10"/>
      <c r="C94" s="13">
        <v>250</v>
      </c>
      <c r="D94" s="14" t="s">
        <v>15</v>
      </c>
      <c r="E94" s="1" t="s">
        <v>153</v>
      </c>
      <c r="F94" s="3">
        <v>1000000</v>
      </c>
      <c r="G94" s="35">
        <f t="shared" si="32"/>
        <v>1200000</v>
      </c>
      <c r="H94" s="31"/>
      <c r="I94" s="31"/>
      <c r="J94" s="31"/>
      <c r="K94" s="31"/>
      <c r="L94" s="3"/>
      <c r="M94" s="30">
        <f t="shared" ref="M94" si="34">SUM(H94:L94)</f>
        <v>0</v>
      </c>
      <c r="N94" s="4">
        <f t="shared" si="33"/>
        <v>1200000</v>
      </c>
    </row>
    <row r="95" spans="2:17" x14ac:dyDescent="0.25">
      <c r="B95" s="10"/>
      <c r="C95" s="13">
        <v>1068</v>
      </c>
      <c r="D95" s="14" t="s">
        <v>15</v>
      </c>
      <c r="E95" s="1" t="s">
        <v>83</v>
      </c>
      <c r="F95" s="3">
        <v>1000000</v>
      </c>
      <c r="G95" s="35">
        <f t="shared" si="32"/>
        <v>1200000</v>
      </c>
      <c r="H95" s="31"/>
      <c r="I95" s="31"/>
      <c r="J95" s="31">
        <v>100000</v>
      </c>
      <c r="K95" s="31"/>
      <c r="L95" s="3"/>
      <c r="M95" s="30">
        <f>SUM(J95:L95)</f>
        <v>100000</v>
      </c>
      <c r="N95" s="4">
        <f t="shared" si="33"/>
        <v>1100000</v>
      </c>
    </row>
    <row r="96" spans="2:17" x14ac:dyDescent="0.25">
      <c r="B96" s="10"/>
      <c r="C96" s="13">
        <v>1109</v>
      </c>
      <c r="D96" s="14" t="s">
        <v>15</v>
      </c>
      <c r="E96" s="1" t="s">
        <v>320</v>
      </c>
      <c r="F96" s="3">
        <v>1500000</v>
      </c>
      <c r="G96" s="35">
        <f t="shared" si="32"/>
        <v>1800000</v>
      </c>
      <c r="H96" s="31"/>
      <c r="I96" s="31"/>
      <c r="J96" s="31">
        <v>150000</v>
      </c>
      <c r="K96" s="31"/>
      <c r="L96" s="3"/>
      <c r="M96" s="30">
        <f>SUM(H96:L96)</f>
        <v>150000</v>
      </c>
      <c r="N96" s="4">
        <f t="shared" si="33"/>
        <v>1650000</v>
      </c>
    </row>
    <row r="97" spans="2:14" x14ac:dyDescent="0.25">
      <c r="B97" s="10"/>
      <c r="C97" s="13">
        <v>1013</v>
      </c>
      <c r="D97" s="14" t="s">
        <v>15</v>
      </c>
      <c r="E97" s="1" t="s">
        <v>127</v>
      </c>
      <c r="F97" s="3">
        <v>1500000</v>
      </c>
      <c r="G97" s="35">
        <f t="shared" si="32"/>
        <v>1800000</v>
      </c>
      <c r="H97" s="31"/>
      <c r="I97" s="31"/>
      <c r="J97" s="31"/>
      <c r="K97" s="31"/>
      <c r="L97" s="3"/>
      <c r="M97" s="30">
        <f>SUM(H97:L97)</f>
        <v>0</v>
      </c>
      <c r="N97" s="4">
        <f t="shared" si="33"/>
        <v>1800000</v>
      </c>
    </row>
    <row r="98" spans="2:14" x14ac:dyDescent="0.25">
      <c r="B98" s="10"/>
      <c r="C98" s="13">
        <v>482</v>
      </c>
      <c r="D98" s="14" t="s">
        <v>15</v>
      </c>
      <c r="E98" s="1" t="s">
        <v>53</v>
      </c>
      <c r="F98" s="3">
        <v>2000000</v>
      </c>
      <c r="G98" s="35">
        <f t="shared" si="32"/>
        <v>2400000</v>
      </c>
      <c r="H98" s="31"/>
      <c r="I98" s="31"/>
      <c r="J98" s="31"/>
      <c r="K98" s="31"/>
      <c r="L98" s="3"/>
      <c r="M98" s="30">
        <f>SUM(H98:L98)</f>
        <v>0</v>
      </c>
      <c r="N98" s="4">
        <f t="shared" si="33"/>
        <v>2400000</v>
      </c>
    </row>
    <row r="99" spans="2:14" x14ac:dyDescent="0.25">
      <c r="B99" s="10">
        <v>46168</v>
      </c>
      <c r="C99" s="13">
        <v>513</v>
      </c>
      <c r="D99" s="14" t="s">
        <v>16</v>
      </c>
      <c r="E99" s="1" t="s">
        <v>323</v>
      </c>
      <c r="F99" s="31">
        <v>1500000</v>
      </c>
      <c r="G99" s="35">
        <f t="shared" si="32"/>
        <v>1800000</v>
      </c>
      <c r="H99" s="31"/>
      <c r="I99" s="31"/>
      <c r="J99" s="31"/>
      <c r="K99" s="31"/>
      <c r="L99" s="3"/>
      <c r="M99" s="30">
        <f>SUM(H99:L99)</f>
        <v>0</v>
      </c>
      <c r="N99" s="4">
        <f t="shared" si="33"/>
        <v>1800000</v>
      </c>
    </row>
    <row r="100" spans="2:14" x14ac:dyDescent="0.25">
      <c r="B100" s="10">
        <v>46170</v>
      </c>
      <c r="C100" s="13">
        <v>1105</v>
      </c>
      <c r="D100" s="14" t="s">
        <v>15</v>
      </c>
      <c r="E100" s="1" t="s">
        <v>326</v>
      </c>
      <c r="F100" s="3">
        <v>1500000</v>
      </c>
      <c r="G100" s="35">
        <f t="shared" si="32"/>
        <v>1800000</v>
      </c>
      <c r="H100" s="31"/>
      <c r="I100" s="31"/>
      <c r="J100" s="31"/>
      <c r="K100" s="31"/>
      <c r="L100" s="3"/>
      <c r="M100" s="30"/>
      <c r="N100" s="4">
        <f t="shared" si="33"/>
        <v>1800000</v>
      </c>
    </row>
    <row r="101" spans="2:14" x14ac:dyDescent="0.25">
      <c r="B101" s="10"/>
      <c r="C101" s="13">
        <v>785</v>
      </c>
      <c r="D101" s="14" t="s">
        <v>15</v>
      </c>
      <c r="E101" s="1" t="s">
        <v>56</v>
      </c>
      <c r="F101" s="3">
        <v>2000000</v>
      </c>
      <c r="G101" s="35">
        <f t="shared" si="32"/>
        <v>2400000</v>
      </c>
      <c r="H101" s="31"/>
      <c r="I101" s="31"/>
      <c r="J101" s="31"/>
      <c r="K101" s="31"/>
      <c r="L101" s="3"/>
      <c r="M101" s="30"/>
      <c r="N101" s="4">
        <f t="shared" si="33"/>
        <v>2400000</v>
      </c>
    </row>
    <row r="102" spans="2:14" x14ac:dyDescent="0.25">
      <c r="B102" s="10"/>
      <c r="C102" s="13">
        <v>1140</v>
      </c>
      <c r="D102" s="14" t="s">
        <v>15</v>
      </c>
      <c r="E102" s="1" t="s">
        <v>327</v>
      </c>
      <c r="F102" s="3">
        <v>4000000</v>
      </c>
      <c r="G102" s="35">
        <f t="shared" si="32"/>
        <v>4800000</v>
      </c>
      <c r="H102" s="31"/>
      <c r="I102" s="31"/>
      <c r="J102" s="31"/>
      <c r="K102" s="31"/>
      <c r="L102" s="3"/>
      <c r="M102" s="30"/>
      <c r="N102" s="4">
        <f t="shared" si="33"/>
        <v>4800000</v>
      </c>
    </row>
    <row r="103" spans="2:14" x14ac:dyDescent="0.25">
      <c r="B103" s="21"/>
      <c r="C103" s="23"/>
      <c r="D103" s="23"/>
      <c r="E103" s="24"/>
      <c r="F103" s="19">
        <f>SUM(F87:F102)</f>
        <v>22000000</v>
      </c>
      <c r="G103" s="36">
        <f>SUM(G87:G102)</f>
        <v>26400000</v>
      </c>
      <c r="H103" s="33"/>
      <c r="I103" s="33"/>
      <c r="J103" s="33">
        <f>SUM(J87:J102)</f>
        <v>450000</v>
      </c>
      <c r="K103" s="33"/>
      <c r="L103" s="19"/>
      <c r="M103" s="43"/>
      <c r="N103" s="20">
        <f t="shared" si="33"/>
        <v>26400000</v>
      </c>
    </row>
    <row r="107" spans="2:14" ht="14.25" customHeight="1" x14ac:dyDescent="0.25"/>
    <row r="113" ht="16.5" customHeight="1" x14ac:dyDescent="0.25"/>
    <row r="114" ht="17.25" customHeight="1" x14ac:dyDescent="0.25"/>
  </sheetData>
  <mergeCells count="40">
    <mergeCell ref="N85:N86"/>
    <mergeCell ref="B85:B86"/>
    <mergeCell ref="E85:E86"/>
    <mergeCell ref="F85:F86"/>
    <mergeCell ref="G85:G86"/>
    <mergeCell ref="M85:M86"/>
    <mergeCell ref="B2:E4"/>
    <mergeCell ref="F2:H4"/>
    <mergeCell ref="I2:N2"/>
    <mergeCell ref="I3:N4"/>
    <mergeCell ref="B7:B8"/>
    <mergeCell ref="E7:E8"/>
    <mergeCell ref="F7:F8"/>
    <mergeCell ref="G7:G8"/>
    <mergeCell ref="M7:M8"/>
    <mergeCell ref="N7:N8"/>
    <mergeCell ref="N19:N20"/>
    <mergeCell ref="B19:B20"/>
    <mergeCell ref="E19:E20"/>
    <mergeCell ref="F19:F20"/>
    <mergeCell ref="G19:G20"/>
    <mergeCell ref="M19:M20"/>
    <mergeCell ref="N36:N37"/>
    <mergeCell ref="B49:B50"/>
    <mergeCell ref="E49:E50"/>
    <mergeCell ref="F49:F50"/>
    <mergeCell ref="G49:G50"/>
    <mergeCell ref="M49:M50"/>
    <mergeCell ref="N49:N50"/>
    <mergeCell ref="B36:B37"/>
    <mergeCell ref="E36:E37"/>
    <mergeCell ref="F36:F37"/>
    <mergeCell ref="G36:G37"/>
    <mergeCell ref="M36:M37"/>
    <mergeCell ref="N62:N63"/>
    <mergeCell ref="B62:B63"/>
    <mergeCell ref="E62:E63"/>
    <mergeCell ref="F62:F63"/>
    <mergeCell ref="G62:G63"/>
    <mergeCell ref="M62:M63"/>
  </mergeCells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95"/>
  <sheetViews>
    <sheetView topLeftCell="A83" zoomScaleNormal="100" workbookViewId="0">
      <selection activeCell="F103" sqref="F103"/>
    </sheetView>
  </sheetViews>
  <sheetFormatPr defaultRowHeight="15" x14ac:dyDescent="0.25"/>
  <cols>
    <col min="2" max="2" width="10.7109375" customWidth="1"/>
    <col min="3" max="3" width="6.7109375" customWidth="1"/>
    <col min="4" max="4" width="4.7109375" customWidth="1"/>
    <col min="5" max="5" width="15.5703125" customWidth="1"/>
    <col min="6" max="6" width="13.7109375" customWidth="1"/>
    <col min="7" max="7" width="13.140625" customWidth="1"/>
    <col min="8" max="8" width="11.5703125" customWidth="1"/>
    <col min="9" max="9" width="12" customWidth="1"/>
    <col min="10" max="10" width="11.42578125" customWidth="1"/>
    <col min="11" max="11" width="11.85546875" customWidth="1"/>
    <col min="12" max="12" width="11.28515625" customWidth="1"/>
    <col min="13" max="13" width="11.85546875" customWidth="1"/>
    <col min="14" max="14" width="12.42578125" customWidth="1"/>
    <col min="17" max="17" width="10.5703125" bestFit="1" customWidth="1"/>
  </cols>
  <sheetData>
    <row r="2" spans="2:17" ht="15.75" thickBot="1" x14ac:dyDescent="0.3">
      <c r="H2" s="2"/>
    </row>
    <row r="3" spans="2:17" ht="21.75" thickBot="1" x14ac:dyDescent="0.3">
      <c r="B3" s="71" t="s">
        <v>12</v>
      </c>
      <c r="C3" s="72"/>
      <c r="D3" s="72"/>
      <c r="E3" s="73"/>
      <c r="F3" s="80" t="s">
        <v>9</v>
      </c>
      <c r="G3" s="72"/>
      <c r="H3" s="72"/>
      <c r="I3" s="83" t="s">
        <v>18</v>
      </c>
      <c r="J3" s="84"/>
      <c r="K3" s="84"/>
      <c r="L3" s="84"/>
      <c r="M3" s="84"/>
      <c r="N3" s="85"/>
    </row>
    <row r="4" spans="2:17" x14ac:dyDescent="0.25">
      <c r="B4" s="74"/>
      <c r="C4" s="75"/>
      <c r="D4" s="75"/>
      <c r="E4" s="76"/>
      <c r="F4" s="81"/>
      <c r="G4" s="75"/>
      <c r="H4" s="75"/>
      <c r="I4" s="74" t="s">
        <v>10</v>
      </c>
      <c r="J4" s="75"/>
      <c r="K4" s="75"/>
      <c r="L4" s="75"/>
      <c r="M4" s="75"/>
      <c r="N4" s="86"/>
    </row>
    <row r="5" spans="2:17" ht="15.75" thickBot="1" x14ac:dyDescent="0.3">
      <c r="B5" s="77"/>
      <c r="C5" s="78"/>
      <c r="D5" s="78"/>
      <c r="E5" s="79"/>
      <c r="F5" s="82"/>
      <c r="G5" s="78"/>
      <c r="H5" s="78"/>
      <c r="I5" s="77"/>
      <c r="J5" s="78"/>
      <c r="K5" s="78"/>
      <c r="L5" s="78"/>
      <c r="M5" s="78"/>
      <c r="N5" s="87"/>
    </row>
    <row r="7" spans="2:17" ht="15.75" thickBot="1" x14ac:dyDescent="0.3">
      <c r="E7" s="12" t="s">
        <v>20</v>
      </c>
    </row>
    <row r="8" spans="2:17" x14ac:dyDescent="0.25">
      <c r="B8" s="65" t="s">
        <v>0</v>
      </c>
      <c r="C8" s="6" t="s">
        <v>1</v>
      </c>
      <c r="D8" s="6"/>
      <c r="E8" s="67" t="s">
        <v>4</v>
      </c>
      <c r="F8" s="67" t="s">
        <v>5</v>
      </c>
      <c r="G8" s="69" t="s">
        <v>6</v>
      </c>
      <c r="H8" s="6"/>
      <c r="I8" s="6"/>
      <c r="J8" s="6"/>
      <c r="K8" s="6"/>
      <c r="L8" s="6"/>
      <c r="M8" s="67" t="s">
        <v>7</v>
      </c>
      <c r="N8" s="63" t="s">
        <v>8</v>
      </c>
    </row>
    <row r="9" spans="2:17" ht="15.75" thickBot="1" x14ac:dyDescent="0.3">
      <c r="B9" s="66"/>
      <c r="C9" s="5" t="s">
        <v>2</v>
      </c>
      <c r="D9" s="5" t="s">
        <v>3</v>
      </c>
      <c r="E9" s="68"/>
      <c r="F9" s="68"/>
      <c r="G9" s="70"/>
      <c r="H9" s="5">
        <v>7</v>
      </c>
      <c r="I9" s="5">
        <v>21</v>
      </c>
      <c r="J9" s="5">
        <v>28</v>
      </c>
      <c r="K9" s="5"/>
      <c r="L9" s="5"/>
      <c r="M9" s="68"/>
      <c r="N9" s="64"/>
    </row>
    <row r="10" spans="2:17" x14ac:dyDescent="0.25">
      <c r="B10" s="10"/>
      <c r="C10" s="14">
        <v>1251</v>
      </c>
      <c r="D10" s="14" t="s">
        <v>15</v>
      </c>
      <c r="E10" s="1" t="s">
        <v>26</v>
      </c>
      <c r="F10" s="3">
        <v>2000000</v>
      </c>
      <c r="G10" s="17">
        <v>2200000</v>
      </c>
      <c r="H10" s="3"/>
      <c r="I10" s="3"/>
      <c r="J10" s="3"/>
      <c r="K10" s="3"/>
      <c r="L10" s="3"/>
      <c r="M10" s="3">
        <f t="shared" ref="M10" si="0">SUM(H10:L10)</f>
        <v>0</v>
      </c>
      <c r="N10" s="4">
        <f t="shared" ref="N10:N11" si="1">G10-M10</f>
        <v>2200000</v>
      </c>
    </row>
    <row r="11" spans="2:17" x14ac:dyDescent="0.25">
      <c r="B11" s="10"/>
      <c r="C11" s="13">
        <v>1175</v>
      </c>
      <c r="D11" s="14" t="s">
        <v>15</v>
      </c>
      <c r="E11" s="1" t="s">
        <v>77</v>
      </c>
      <c r="F11" s="3">
        <v>1000000</v>
      </c>
      <c r="G11" s="29">
        <v>700000</v>
      </c>
      <c r="H11" s="3"/>
      <c r="I11" s="3"/>
      <c r="J11" s="3"/>
      <c r="K11" s="3"/>
      <c r="L11" s="3"/>
      <c r="M11" s="3">
        <f>SUM(H11:L11)</f>
        <v>0</v>
      </c>
      <c r="N11" s="4">
        <f t="shared" si="1"/>
        <v>700000</v>
      </c>
      <c r="Q11" s="18"/>
    </row>
    <row r="12" spans="2:17" x14ac:dyDescent="0.25">
      <c r="B12" s="26">
        <v>45813</v>
      </c>
      <c r="C12" s="13">
        <v>318</v>
      </c>
      <c r="D12" s="14" t="s">
        <v>15</v>
      </c>
      <c r="E12" s="1" t="s">
        <v>78</v>
      </c>
      <c r="F12" s="3">
        <v>500000</v>
      </c>
      <c r="G12" s="29">
        <v>500000</v>
      </c>
      <c r="H12" s="27"/>
      <c r="I12" s="27"/>
      <c r="J12" s="27"/>
      <c r="K12" s="27"/>
      <c r="L12" s="27"/>
      <c r="M12" s="28">
        <f t="shared" ref="M12" si="2">SUM(H12:L12)</f>
        <v>0</v>
      </c>
      <c r="N12" s="28">
        <f>G12-M12</f>
        <v>500000</v>
      </c>
      <c r="Q12" s="18"/>
    </row>
    <row r="13" spans="2:17" ht="15" customHeight="1" x14ac:dyDescent="0.25">
      <c r="B13" s="10"/>
      <c r="C13" s="13">
        <v>729</v>
      </c>
      <c r="D13" s="14" t="s">
        <v>15</v>
      </c>
      <c r="E13" s="1" t="s">
        <v>55</v>
      </c>
      <c r="F13" s="3">
        <v>3000000</v>
      </c>
      <c r="G13" s="29">
        <v>2400000</v>
      </c>
      <c r="H13" s="3"/>
      <c r="I13" s="3"/>
      <c r="J13" s="3"/>
      <c r="K13" s="3"/>
      <c r="L13" s="3"/>
      <c r="M13" s="30">
        <f>SUM(H13:L13)</f>
        <v>0</v>
      </c>
      <c r="N13" s="4">
        <f t="shared" ref="N13:N19" si="3">G13-M13</f>
        <v>2400000</v>
      </c>
    </row>
    <row r="14" spans="2:17" ht="15" customHeight="1" x14ac:dyDescent="0.25">
      <c r="B14" s="10">
        <v>45820</v>
      </c>
      <c r="C14" s="13">
        <v>1080</v>
      </c>
      <c r="D14" s="14" t="s">
        <v>15</v>
      </c>
      <c r="E14" s="1" t="s">
        <v>111</v>
      </c>
      <c r="F14" s="3">
        <v>1000000</v>
      </c>
      <c r="G14" s="29">
        <v>1100000</v>
      </c>
      <c r="H14" s="3"/>
      <c r="I14" s="3"/>
      <c r="J14" s="3"/>
      <c r="K14" s="3"/>
      <c r="L14" s="3"/>
      <c r="M14" s="30">
        <f t="shared" ref="M14" si="4">SUM(H14:L14)</f>
        <v>0</v>
      </c>
      <c r="N14" s="4">
        <f t="shared" si="3"/>
        <v>1100000</v>
      </c>
    </row>
    <row r="15" spans="2:17" ht="15" customHeight="1" x14ac:dyDescent="0.25">
      <c r="B15" s="10"/>
      <c r="C15" s="14">
        <v>431</v>
      </c>
      <c r="D15" s="14" t="s">
        <v>15</v>
      </c>
      <c r="E15" s="1" t="s">
        <v>37</v>
      </c>
      <c r="F15" s="3">
        <v>800000</v>
      </c>
      <c r="G15" s="29">
        <v>910000</v>
      </c>
      <c r="H15" s="3"/>
      <c r="I15" s="3"/>
      <c r="J15" s="3"/>
      <c r="K15" s="3"/>
      <c r="L15" s="3"/>
      <c r="M15" s="30">
        <f>SUM(H15:L15)</f>
        <v>0</v>
      </c>
      <c r="N15" s="4">
        <f t="shared" si="3"/>
        <v>910000</v>
      </c>
    </row>
    <row r="16" spans="2:17" x14ac:dyDescent="0.25">
      <c r="B16" s="10"/>
      <c r="C16" s="14">
        <v>462</v>
      </c>
      <c r="D16" s="14" t="s">
        <v>15</v>
      </c>
      <c r="E16" s="1" t="s">
        <v>19</v>
      </c>
      <c r="F16" s="3">
        <v>2000000</v>
      </c>
      <c r="G16" s="29">
        <v>2200000</v>
      </c>
      <c r="H16" s="3"/>
      <c r="I16" s="3"/>
      <c r="J16" s="3"/>
      <c r="K16" s="3"/>
      <c r="L16" s="3"/>
      <c r="M16" s="30">
        <f>SUM(H16:L16)</f>
        <v>0</v>
      </c>
      <c r="N16" s="4">
        <f t="shared" si="3"/>
        <v>2200000</v>
      </c>
    </row>
    <row r="17" spans="2:14" ht="15" customHeight="1" x14ac:dyDescent="0.25">
      <c r="B17" s="10"/>
      <c r="C17" s="14">
        <v>939</v>
      </c>
      <c r="D17" s="14" t="s">
        <v>15</v>
      </c>
      <c r="E17" s="1" t="s">
        <v>69</v>
      </c>
      <c r="F17" s="3">
        <v>8000000</v>
      </c>
      <c r="G17" s="29">
        <v>5650000</v>
      </c>
      <c r="H17" s="3"/>
      <c r="I17" s="3">
        <v>500000</v>
      </c>
      <c r="J17" s="3"/>
      <c r="K17" s="3"/>
      <c r="L17" s="3"/>
      <c r="M17" s="30">
        <f>SUM(H17:L17)</f>
        <v>500000</v>
      </c>
      <c r="N17" s="4">
        <f t="shared" si="3"/>
        <v>5150000</v>
      </c>
    </row>
    <row r="18" spans="2:14" ht="15" customHeight="1" x14ac:dyDescent="0.25">
      <c r="B18" s="10">
        <v>45869</v>
      </c>
      <c r="C18" s="13">
        <v>339</v>
      </c>
      <c r="D18" s="14" t="s">
        <v>15</v>
      </c>
      <c r="E18" s="1" t="s">
        <v>139</v>
      </c>
      <c r="F18" s="3">
        <v>1500000</v>
      </c>
      <c r="G18" s="29">
        <f t="shared" ref="G18" si="5">F18*120%</f>
        <v>1800000</v>
      </c>
      <c r="H18" s="3"/>
      <c r="I18" s="3"/>
      <c r="J18" s="3"/>
      <c r="K18" s="3"/>
      <c r="L18" s="3"/>
      <c r="M18" s="30"/>
      <c r="N18" s="4">
        <f t="shared" si="3"/>
        <v>1800000</v>
      </c>
    </row>
    <row r="19" spans="2:14" ht="16.5" customHeight="1" x14ac:dyDescent="0.25">
      <c r="B19" s="10"/>
      <c r="C19" s="14">
        <v>123</v>
      </c>
      <c r="D19" s="14" t="s">
        <v>15</v>
      </c>
      <c r="E19" s="1" t="s">
        <v>155</v>
      </c>
      <c r="F19" s="3">
        <v>1000000</v>
      </c>
      <c r="G19" s="29">
        <v>1000000</v>
      </c>
      <c r="H19" s="3"/>
      <c r="I19" s="3"/>
      <c r="J19" s="3"/>
      <c r="K19" s="3"/>
      <c r="L19" s="3"/>
      <c r="M19" s="30">
        <f t="shared" ref="M19" si="6">SUM(H19:L19)</f>
        <v>0</v>
      </c>
      <c r="N19" s="4">
        <f t="shared" si="3"/>
        <v>1000000</v>
      </c>
    </row>
    <row r="20" spans="2:14" ht="15" customHeight="1" x14ac:dyDescent="0.25">
      <c r="B20" s="21"/>
      <c r="C20" s="23"/>
      <c r="D20" s="23"/>
      <c r="E20" s="24"/>
      <c r="F20" s="19">
        <f t="shared" ref="F20:M20" si="7">SUM(F10:F19)</f>
        <v>20800000</v>
      </c>
      <c r="G20" s="25">
        <f t="shared" si="7"/>
        <v>18460000</v>
      </c>
      <c r="H20" s="19">
        <f t="shared" si="7"/>
        <v>0</v>
      </c>
      <c r="I20" s="19">
        <f t="shared" si="7"/>
        <v>500000</v>
      </c>
      <c r="J20" s="19">
        <f t="shared" si="7"/>
        <v>0</v>
      </c>
      <c r="K20" s="19">
        <f t="shared" si="7"/>
        <v>0</v>
      </c>
      <c r="L20" s="19">
        <f t="shared" si="7"/>
        <v>0</v>
      </c>
      <c r="M20" s="19">
        <f t="shared" si="7"/>
        <v>500000</v>
      </c>
      <c r="N20" s="20">
        <f t="shared" ref="N20" si="8">G20-M20</f>
        <v>17960000</v>
      </c>
    </row>
    <row r="21" spans="2:14" ht="15" customHeight="1" thickBot="1" x14ac:dyDescent="0.3">
      <c r="E21" s="32" t="s">
        <v>17</v>
      </c>
    </row>
    <row r="22" spans="2:14" ht="15.75" customHeight="1" x14ac:dyDescent="0.25">
      <c r="B22" s="65" t="s">
        <v>0</v>
      </c>
      <c r="C22" s="6" t="s">
        <v>1</v>
      </c>
      <c r="D22" s="6"/>
      <c r="E22" s="67" t="s">
        <v>4</v>
      </c>
      <c r="F22" s="67" t="s">
        <v>5</v>
      </c>
      <c r="G22" s="69" t="s">
        <v>6</v>
      </c>
      <c r="H22" s="6"/>
      <c r="I22" s="6"/>
      <c r="J22" s="6"/>
      <c r="K22" s="6"/>
      <c r="L22" s="6"/>
      <c r="M22" s="67" t="s">
        <v>7</v>
      </c>
      <c r="N22" s="63" t="s">
        <v>8</v>
      </c>
    </row>
    <row r="23" spans="2:14" ht="15" customHeight="1" thickBot="1" x14ac:dyDescent="0.3">
      <c r="B23" s="66"/>
      <c r="C23" s="5" t="s">
        <v>2</v>
      </c>
      <c r="D23" s="5" t="s">
        <v>3</v>
      </c>
      <c r="E23" s="68"/>
      <c r="F23" s="68"/>
      <c r="G23" s="70"/>
      <c r="H23" s="5">
        <v>7</v>
      </c>
      <c r="I23" s="5">
        <v>21</v>
      </c>
      <c r="J23" s="5">
        <v>28</v>
      </c>
      <c r="K23" s="5"/>
      <c r="L23" s="5"/>
      <c r="M23" s="68"/>
      <c r="N23" s="64"/>
    </row>
    <row r="24" spans="2:14" ht="15" customHeight="1" x14ac:dyDescent="0.25">
      <c r="B24" s="54">
        <v>46044</v>
      </c>
      <c r="C24" s="56">
        <v>1002</v>
      </c>
      <c r="D24" s="56" t="s">
        <v>15</v>
      </c>
      <c r="E24" s="57" t="s">
        <v>198</v>
      </c>
      <c r="F24" s="58">
        <v>500000</v>
      </c>
      <c r="G24" s="51">
        <v>150000</v>
      </c>
      <c r="H24" s="58">
        <v>50000</v>
      </c>
      <c r="I24" s="58">
        <v>100000</v>
      </c>
      <c r="J24" s="58"/>
      <c r="K24" s="58"/>
      <c r="L24" s="58"/>
      <c r="M24" s="60">
        <f t="shared" ref="M24" si="9">SUM(H24:L24)</f>
        <v>150000</v>
      </c>
      <c r="N24" s="60">
        <f t="shared" ref="N24:N30" si="10">G24-M24</f>
        <v>0</v>
      </c>
    </row>
    <row r="25" spans="2:14" ht="15" customHeight="1" x14ac:dyDescent="0.25">
      <c r="B25" s="10"/>
      <c r="C25" s="14">
        <v>938</v>
      </c>
      <c r="D25" s="14" t="s">
        <v>15</v>
      </c>
      <c r="E25" s="1" t="s">
        <v>200</v>
      </c>
      <c r="F25" s="3">
        <v>1000000</v>
      </c>
      <c r="G25" s="29">
        <v>1150000</v>
      </c>
      <c r="H25" s="3">
        <v>100000</v>
      </c>
      <c r="I25" s="3">
        <v>100000</v>
      </c>
      <c r="J25" s="3">
        <v>950000</v>
      </c>
      <c r="K25" s="3"/>
      <c r="L25" s="3"/>
      <c r="M25" s="4">
        <f>SUM(H25:L25)</f>
        <v>1150000</v>
      </c>
      <c r="N25" s="4">
        <f t="shared" si="10"/>
        <v>0</v>
      </c>
    </row>
    <row r="26" spans="2:14" ht="15" customHeight="1" x14ac:dyDescent="0.25">
      <c r="B26" s="54"/>
      <c r="C26" s="56">
        <v>262</v>
      </c>
      <c r="D26" s="56" t="s">
        <v>15</v>
      </c>
      <c r="E26" s="57" t="s">
        <v>164</v>
      </c>
      <c r="F26" s="58">
        <v>1000000</v>
      </c>
      <c r="G26" s="51">
        <v>500000</v>
      </c>
      <c r="H26" s="58">
        <v>500000</v>
      </c>
      <c r="I26" s="58"/>
      <c r="J26" s="58"/>
      <c r="K26" s="58"/>
      <c r="L26" s="58"/>
      <c r="M26" s="59">
        <f>SUM(H26:L26)</f>
        <v>500000</v>
      </c>
      <c r="N26" s="60">
        <f t="shared" si="10"/>
        <v>0</v>
      </c>
    </row>
    <row r="27" spans="2:14" ht="15" customHeight="1" x14ac:dyDescent="0.25">
      <c r="B27" s="54">
        <v>46050</v>
      </c>
      <c r="C27" s="55">
        <v>621</v>
      </c>
      <c r="D27" s="56" t="s">
        <v>16</v>
      </c>
      <c r="E27" s="57" t="s">
        <v>96</v>
      </c>
      <c r="F27" s="58">
        <v>500000</v>
      </c>
      <c r="G27" s="51">
        <v>450000</v>
      </c>
      <c r="H27" s="58">
        <v>50000</v>
      </c>
      <c r="I27" s="58">
        <v>400000</v>
      </c>
      <c r="J27" s="58"/>
      <c r="K27" s="58"/>
      <c r="L27" s="58"/>
      <c r="M27" s="59">
        <f>SUM(H27:L27)</f>
        <v>450000</v>
      </c>
      <c r="N27" s="60">
        <f t="shared" si="10"/>
        <v>0</v>
      </c>
    </row>
    <row r="28" spans="2:14" ht="15" customHeight="1" x14ac:dyDescent="0.25">
      <c r="B28" s="54"/>
      <c r="C28" s="55">
        <v>1099</v>
      </c>
      <c r="D28" s="56" t="s">
        <v>16</v>
      </c>
      <c r="E28" s="57" t="s">
        <v>202</v>
      </c>
      <c r="F28" s="58">
        <v>1000000</v>
      </c>
      <c r="G28" s="51">
        <v>400000</v>
      </c>
      <c r="H28" s="58">
        <v>400000</v>
      </c>
      <c r="I28" s="58"/>
      <c r="J28" s="58"/>
      <c r="K28" s="58"/>
      <c r="L28" s="58"/>
      <c r="M28" s="59">
        <f t="shared" ref="M28" si="11">SUM(H28:L28)</f>
        <v>400000</v>
      </c>
      <c r="N28" s="60">
        <f t="shared" si="10"/>
        <v>0</v>
      </c>
    </row>
    <row r="29" spans="2:14" ht="15" customHeight="1" x14ac:dyDescent="0.25">
      <c r="B29" s="54"/>
      <c r="C29" s="56">
        <v>88</v>
      </c>
      <c r="D29" s="56" t="s">
        <v>15</v>
      </c>
      <c r="E29" s="57" t="s">
        <v>239</v>
      </c>
      <c r="F29" s="58">
        <v>2000000</v>
      </c>
      <c r="G29" s="51">
        <v>1650000</v>
      </c>
      <c r="H29" s="58">
        <v>1650000</v>
      </c>
      <c r="I29" s="58"/>
      <c r="J29" s="58"/>
      <c r="K29" s="58"/>
      <c r="L29" s="58"/>
      <c r="M29" s="59">
        <f>SUM(H29:L29)</f>
        <v>1650000</v>
      </c>
      <c r="N29" s="60">
        <f t="shared" si="10"/>
        <v>0</v>
      </c>
    </row>
    <row r="30" spans="2:14" ht="15" customHeight="1" x14ac:dyDescent="0.25">
      <c r="B30" s="21"/>
      <c r="C30" s="22"/>
      <c r="D30" s="23"/>
      <c r="E30" s="24"/>
      <c r="F30" s="19">
        <f t="shared" ref="F30:M30" si="12">SUM(F24:F29)</f>
        <v>6000000</v>
      </c>
      <c r="G30" s="25">
        <f t="shared" si="12"/>
        <v>4300000</v>
      </c>
      <c r="H30" s="19">
        <f t="shared" si="12"/>
        <v>2750000</v>
      </c>
      <c r="I30" s="19">
        <f t="shared" si="12"/>
        <v>600000</v>
      </c>
      <c r="J30" s="19">
        <f t="shared" si="12"/>
        <v>950000</v>
      </c>
      <c r="K30" s="19">
        <f t="shared" si="12"/>
        <v>0</v>
      </c>
      <c r="L30" s="19">
        <f t="shared" si="12"/>
        <v>0</v>
      </c>
      <c r="M30" s="19">
        <f t="shared" si="12"/>
        <v>4300000</v>
      </c>
      <c r="N30" s="20">
        <f t="shared" si="10"/>
        <v>0</v>
      </c>
    </row>
    <row r="31" spans="2:14" ht="15" customHeight="1" thickBot="1" x14ac:dyDescent="0.3"/>
    <row r="32" spans="2:14" ht="15" customHeight="1" x14ac:dyDescent="0.25">
      <c r="B32" s="65" t="s">
        <v>0</v>
      </c>
      <c r="C32" s="6" t="s">
        <v>1</v>
      </c>
      <c r="D32" s="6"/>
      <c r="E32" s="67" t="s">
        <v>4</v>
      </c>
      <c r="F32" s="67" t="s">
        <v>5</v>
      </c>
      <c r="G32" s="69" t="s">
        <v>6</v>
      </c>
      <c r="H32" s="6"/>
      <c r="I32" s="6"/>
      <c r="J32" s="6"/>
      <c r="K32" s="6"/>
      <c r="L32" s="6"/>
      <c r="M32" s="67" t="s">
        <v>7</v>
      </c>
      <c r="N32" s="63" t="s">
        <v>8</v>
      </c>
    </row>
    <row r="33" spans="2:14" ht="15.75" customHeight="1" thickBot="1" x14ac:dyDescent="0.3">
      <c r="B33" s="66"/>
      <c r="C33" s="5" t="s">
        <v>2</v>
      </c>
      <c r="D33" s="5" t="s">
        <v>3</v>
      </c>
      <c r="E33" s="68"/>
      <c r="F33" s="68"/>
      <c r="G33" s="70"/>
      <c r="H33" s="5">
        <v>7</v>
      </c>
      <c r="I33" s="5">
        <v>21</v>
      </c>
      <c r="J33" s="5">
        <v>28</v>
      </c>
      <c r="K33" s="5"/>
      <c r="L33" s="5"/>
      <c r="M33" s="68"/>
      <c r="N33" s="64"/>
    </row>
    <row r="34" spans="2:14" ht="15" customHeight="1" x14ac:dyDescent="0.25">
      <c r="B34" s="26">
        <v>46057</v>
      </c>
      <c r="C34" s="13">
        <v>747</v>
      </c>
      <c r="D34" s="14" t="s">
        <v>16</v>
      </c>
      <c r="E34" s="1" t="s">
        <v>215</v>
      </c>
      <c r="F34" s="3">
        <v>2000000</v>
      </c>
      <c r="G34" s="29">
        <v>1600000</v>
      </c>
      <c r="H34" s="27">
        <v>200000</v>
      </c>
      <c r="I34" s="27"/>
      <c r="J34" s="27">
        <v>1400000</v>
      </c>
      <c r="K34" s="27"/>
      <c r="L34" s="27"/>
      <c r="M34" s="28">
        <f t="shared" ref="M34:M38" si="13">SUM(H34:L34)</f>
        <v>1600000</v>
      </c>
      <c r="N34" s="28">
        <f>G34-M34</f>
        <v>0</v>
      </c>
    </row>
    <row r="35" spans="2:14" x14ac:dyDescent="0.25">
      <c r="B35" s="26">
        <v>46058</v>
      </c>
      <c r="C35" s="13">
        <v>477</v>
      </c>
      <c r="D35" s="14" t="s">
        <v>15</v>
      </c>
      <c r="E35" s="1" t="s">
        <v>102</v>
      </c>
      <c r="F35" s="3">
        <v>500000</v>
      </c>
      <c r="G35" s="29">
        <v>350000</v>
      </c>
      <c r="H35" s="27"/>
      <c r="I35" s="27">
        <v>50000</v>
      </c>
      <c r="J35" s="27">
        <v>50000</v>
      </c>
      <c r="K35" s="27"/>
      <c r="L35" s="27"/>
      <c r="M35" s="28">
        <f t="shared" ref="M35" si="14">SUM(H35:L35)</f>
        <v>100000</v>
      </c>
      <c r="N35" s="28">
        <f>G35-M35</f>
        <v>250000</v>
      </c>
    </row>
    <row r="36" spans="2:14" ht="15" customHeight="1" x14ac:dyDescent="0.25">
      <c r="B36" s="54"/>
      <c r="C36" s="55">
        <v>442</v>
      </c>
      <c r="D36" s="56" t="s">
        <v>15</v>
      </c>
      <c r="E36" s="57" t="s">
        <v>214</v>
      </c>
      <c r="F36" s="58">
        <v>1500000</v>
      </c>
      <c r="G36" s="51">
        <v>950000</v>
      </c>
      <c r="H36" s="58">
        <v>950000</v>
      </c>
      <c r="I36" s="58"/>
      <c r="J36" s="58"/>
      <c r="K36" s="58"/>
      <c r="L36" s="58"/>
      <c r="M36" s="59">
        <f t="shared" si="13"/>
        <v>950000</v>
      </c>
      <c r="N36" s="60">
        <f t="shared" ref="N36:N49" si="15">G36-M36</f>
        <v>0</v>
      </c>
    </row>
    <row r="37" spans="2:14" ht="15" customHeight="1" x14ac:dyDescent="0.25">
      <c r="B37" s="10">
        <v>46062</v>
      </c>
      <c r="C37" s="13">
        <v>1026</v>
      </c>
      <c r="D37" s="14" t="s">
        <v>15</v>
      </c>
      <c r="E37" s="1" t="s">
        <v>228</v>
      </c>
      <c r="F37" s="3">
        <v>1300000</v>
      </c>
      <c r="G37" s="29">
        <v>1430000</v>
      </c>
      <c r="H37" s="3">
        <v>100000</v>
      </c>
      <c r="I37" s="3">
        <v>100000</v>
      </c>
      <c r="J37" s="3">
        <v>100000</v>
      </c>
      <c r="K37" s="3"/>
      <c r="L37" s="3"/>
      <c r="M37" s="30">
        <f>SUM(H37:L37)</f>
        <v>300000</v>
      </c>
      <c r="N37" s="4">
        <f t="shared" si="15"/>
        <v>1130000</v>
      </c>
    </row>
    <row r="38" spans="2:14" ht="15" customHeight="1" x14ac:dyDescent="0.25">
      <c r="B38" s="54">
        <v>46065</v>
      </c>
      <c r="C38" s="55">
        <v>305</v>
      </c>
      <c r="D38" s="56" t="s">
        <v>16</v>
      </c>
      <c r="E38" s="57" t="s">
        <v>218</v>
      </c>
      <c r="F38" s="58">
        <v>300000</v>
      </c>
      <c r="G38" s="51">
        <v>120000</v>
      </c>
      <c r="H38" s="58">
        <v>30000</v>
      </c>
      <c r="I38" s="58">
        <v>90000</v>
      </c>
      <c r="J38" s="58"/>
      <c r="K38" s="58"/>
      <c r="L38" s="58"/>
      <c r="M38" s="60">
        <f t="shared" si="13"/>
        <v>120000</v>
      </c>
      <c r="N38" s="60">
        <f t="shared" si="15"/>
        <v>0</v>
      </c>
    </row>
    <row r="39" spans="2:14" ht="15" customHeight="1" x14ac:dyDescent="0.25">
      <c r="B39" s="10"/>
      <c r="C39" s="13">
        <v>608</v>
      </c>
      <c r="D39" s="14" t="s">
        <v>15</v>
      </c>
      <c r="E39" s="1" t="s">
        <v>113</v>
      </c>
      <c r="F39" s="3">
        <v>2000000</v>
      </c>
      <c r="G39" s="29">
        <v>1600000</v>
      </c>
      <c r="H39" s="3"/>
      <c r="I39" s="3">
        <v>200000</v>
      </c>
      <c r="J39" s="3">
        <v>150000</v>
      </c>
      <c r="K39" s="3"/>
      <c r="L39" s="3"/>
      <c r="M39" s="3">
        <f>SUM(H39:L39)</f>
        <v>350000</v>
      </c>
      <c r="N39" s="4">
        <f t="shared" si="15"/>
        <v>1250000</v>
      </c>
    </row>
    <row r="40" spans="2:14" ht="15" customHeight="1" x14ac:dyDescent="0.25">
      <c r="B40" s="10"/>
      <c r="C40" s="13">
        <v>1065</v>
      </c>
      <c r="D40" s="14" t="s">
        <v>15</v>
      </c>
      <c r="E40" s="1" t="s">
        <v>219</v>
      </c>
      <c r="F40" s="3">
        <v>3500000</v>
      </c>
      <c r="G40" s="29">
        <v>3600000</v>
      </c>
      <c r="H40" s="3"/>
      <c r="I40" s="3">
        <v>250000</v>
      </c>
      <c r="J40" s="3"/>
      <c r="K40" s="3"/>
      <c r="L40" s="3"/>
      <c r="M40" s="4">
        <f>SUM(H40:L40)</f>
        <v>250000</v>
      </c>
      <c r="N40" s="4">
        <f t="shared" si="15"/>
        <v>3350000</v>
      </c>
    </row>
    <row r="41" spans="2:14" ht="15" customHeight="1" x14ac:dyDescent="0.25">
      <c r="B41" s="10"/>
      <c r="C41" s="13">
        <v>397</v>
      </c>
      <c r="D41" s="14" t="s">
        <v>15</v>
      </c>
      <c r="E41" s="1" t="s">
        <v>125</v>
      </c>
      <c r="F41" s="3">
        <v>2500000</v>
      </c>
      <c r="G41" s="29">
        <v>2900000</v>
      </c>
      <c r="H41" s="3">
        <v>100000</v>
      </c>
      <c r="I41" s="3">
        <v>400000</v>
      </c>
      <c r="J41" s="3">
        <v>200000</v>
      </c>
      <c r="K41" s="3"/>
      <c r="L41" s="3"/>
      <c r="M41" s="30">
        <f>SUM(H41:L41)</f>
        <v>700000</v>
      </c>
      <c r="N41" s="4">
        <f t="shared" si="15"/>
        <v>2200000</v>
      </c>
    </row>
    <row r="42" spans="2:14" ht="15" customHeight="1" x14ac:dyDescent="0.25">
      <c r="B42" s="10"/>
      <c r="C42" s="13">
        <v>286</v>
      </c>
      <c r="D42" s="14" t="s">
        <v>15</v>
      </c>
      <c r="E42" s="1" t="s">
        <v>171</v>
      </c>
      <c r="F42" s="3">
        <v>3000000</v>
      </c>
      <c r="G42" s="29">
        <v>1200000</v>
      </c>
      <c r="H42" s="3">
        <v>300000</v>
      </c>
      <c r="I42" s="3">
        <v>300000</v>
      </c>
      <c r="J42" s="3">
        <v>600000</v>
      </c>
      <c r="K42" s="3"/>
      <c r="L42" s="3"/>
      <c r="M42" s="30">
        <f t="shared" ref="M42" si="16">SUM(H42:L42)</f>
        <v>1200000</v>
      </c>
      <c r="N42" s="4">
        <f t="shared" si="15"/>
        <v>0</v>
      </c>
    </row>
    <row r="43" spans="2:14" ht="15" customHeight="1" x14ac:dyDescent="0.25">
      <c r="B43" s="10">
        <v>46079</v>
      </c>
      <c r="C43" s="14">
        <v>790</v>
      </c>
      <c r="D43" s="14" t="s">
        <v>15</v>
      </c>
      <c r="E43" s="1" t="s">
        <v>133</v>
      </c>
      <c r="F43" s="3">
        <v>1000000</v>
      </c>
      <c r="G43" s="29">
        <v>1150000</v>
      </c>
      <c r="H43" s="3">
        <v>50000</v>
      </c>
      <c r="I43" s="3"/>
      <c r="J43" s="3">
        <v>100000</v>
      </c>
      <c r="K43" s="3"/>
      <c r="L43" s="3"/>
      <c r="M43" s="30">
        <f>SUM(J43:L43)</f>
        <v>100000</v>
      </c>
      <c r="N43" s="4">
        <f t="shared" si="15"/>
        <v>1050000</v>
      </c>
    </row>
    <row r="44" spans="2:14" ht="15" customHeight="1" x14ac:dyDescent="0.25">
      <c r="B44" s="48"/>
      <c r="C44" s="49">
        <v>977</v>
      </c>
      <c r="D44" s="49" t="s">
        <v>15</v>
      </c>
      <c r="E44" s="50" t="s">
        <v>144</v>
      </c>
      <c r="F44" s="51">
        <v>1000000</v>
      </c>
      <c r="G44" s="51">
        <v>550000</v>
      </c>
      <c r="H44" s="51">
        <v>550000</v>
      </c>
      <c r="I44" s="51"/>
      <c r="J44" s="51"/>
      <c r="K44" s="51"/>
      <c r="L44" s="51"/>
      <c r="M44" s="52">
        <f>SUM(H44:L44)</f>
        <v>550000</v>
      </c>
      <c r="N44" s="53">
        <f t="shared" si="15"/>
        <v>0</v>
      </c>
    </row>
    <row r="45" spans="2:14" ht="15" customHeight="1" x14ac:dyDescent="0.25">
      <c r="B45" s="10"/>
      <c r="C45" s="14">
        <v>1039</v>
      </c>
      <c r="D45" s="14" t="s">
        <v>15</v>
      </c>
      <c r="E45" s="1" t="s">
        <v>124</v>
      </c>
      <c r="F45" s="3">
        <v>1000000</v>
      </c>
      <c r="G45" s="29">
        <f t="shared" ref="G45" si="17">F45*120%</f>
        <v>1200000</v>
      </c>
      <c r="H45" s="3"/>
      <c r="I45" s="3">
        <v>100000</v>
      </c>
      <c r="J45" s="3">
        <v>100000</v>
      </c>
      <c r="K45" s="3"/>
      <c r="L45" s="3"/>
      <c r="M45" s="30">
        <f>SUM(J45:L45)</f>
        <v>100000</v>
      </c>
      <c r="N45" s="4">
        <f t="shared" si="15"/>
        <v>1100000</v>
      </c>
    </row>
    <row r="46" spans="2:14" ht="15" customHeight="1" x14ac:dyDescent="0.25">
      <c r="B46" s="10"/>
      <c r="C46" s="14">
        <v>626</v>
      </c>
      <c r="D46" s="14" t="s">
        <v>15</v>
      </c>
      <c r="E46" s="1" t="s">
        <v>230</v>
      </c>
      <c r="F46" s="3">
        <v>1200000</v>
      </c>
      <c r="G46" s="29">
        <v>1140000</v>
      </c>
      <c r="H46" s="3">
        <v>100000</v>
      </c>
      <c r="I46" s="3">
        <v>100000</v>
      </c>
      <c r="J46" s="3"/>
      <c r="K46" s="3"/>
      <c r="L46" s="3"/>
      <c r="M46" s="30">
        <f>SUM(H46:L46)</f>
        <v>200000</v>
      </c>
      <c r="N46" s="4">
        <f t="shared" si="15"/>
        <v>940000</v>
      </c>
    </row>
    <row r="47" spans="2:14" ht="15" customHeight="1" x14ac:dyDescent="0.25">
      <c r="B47" s="10"/>
      <c r="C47" s="14">
        <v>427</v>
      </c>
      <c r="D47" s="14" t="s">
        <v>15</v>
      </c>
      <c r="E47" s="1" t="s">
        <v>167</v>
      </c>
      <c r="F47" s="3">
        <v>2000000</v>
      </c>
      <c r="G47" s="29">
        <v>2350000</v>
      </c>
      <c r="H47" s="3">
        <v>50000</v>
      </c>
      <c r="I47" s="3">
        <v>50000</v>
      </c>
      <c r="J47" s="3">
        <v>50000</v>
      </c>
      <c r="K47" s="3"/>
      <c r="L47" s="3"/>
      <c r="M47" s="30">
        <f>SUM(H47:L47)</f>
        <v>150000</v>
      </c>
      <c r="N47" s="4">
        <f t="shared" si="15"/>
        <v>2200000</v>
      </c>
    </row>
    <row r="48" spans="2:14" ht="15" customHeight="1" x14ac:dyDescent="0.25">
      <c r="B48" s="10"/>
      <c r="C48" s="14">
        <v>365</v>
      </c>
      <c r="D48" s="14" t="s">
        <v>15</v>
      </c>
      <c r="E48" s="1" t="s">
        <v>82</v>
      </c>
      <c r="F48" s="3">
        <v>2000000</v>
      </c>
      <c r="G48" s="29">
        <v>1750000</v>
      </c>
      <c r="H48" s="3"/>
      <c r="I48" s="3"/>
      <c r="J48" s="3"/>
      <c r="K48" s="3"/>
      <c r="L48" s="3"/>
      <c r="M48" s="30">
        <f>SUM(H48:L48)</f>
        <v>0</v>
      </c>
      <c r="N48" s="4">
        <f t="shared" si="15"/>
        <v>1750000</v>
      </c>
    </row>
    <row r="49" spans="2:14" ht="15.75" customHeight="1" x14ac:dyDescent="0.25">
      <c r="B49" s="21"/>
      <c r="C49" s="23"/>
      <c r="D49" s="23"/>
      <c r="E49" s="24"/>
      <c r="F49" s="19">
        <f t="shared" ref="F49:M49" si="18">SUM(F34:F48)</f>
        <v>24800000</v>
      </c>
      <c r="G49" s="25">
        <f t="shared" si="18"/>
        <v>21890000</v>
      </c>
      <c r="H49" s="19">
        <f t="shared" si="18"/>
        <v>2430000</v>
      </c>
      <c r="I49" s="19">
        <f t="shared" si="18"/>
        <v>1640000</v>
      </c>
      <c r="J49" s="19">
        <f t="shared" si="18"/>
        <v>2750000</v>
      </c>
      <c r="K49" s="19">
        <f t="shared" si="18"/>
        <v>0</v>
      </c>
      <c r="L49" s="19">
        <f t="shared" si="18"/>
        <v>0</v>
      </c>
      <c r="M49" s="19">
        <f t="shared" si="18"/>
        <v>6670000</v>
      </c>
      <c r="N49" s="20">
        <f t="shared" si="15"/>
        <v>15220000</v>
      </c>
    </row>
    <row r="50" spans="2:14" ht="15" customHeight="1" thickBot="1" x14ac:dyDescent="0.3"/>
    <row r="51" spans="2:14" ht="15" customHeight="1" x14ac:dyDescent="0.25">
      <c r="B51" s="65" t="s">
        <v>0</v>
      </c>
      <c r="C51" s="6" t="s">
        <v>1</v>
      </c>
      <c r="D51" s="6"/>
      <c r="E51" s="67" t="s">
        <v>4</v>
      </c>
      <c r="F51" s="67" t="s">
        <v>5</v>
      </c>
      <c r="G51" s="69" t="s">
        <v>6</v>
      </c>
      <c r="H51" s="6"/>
      <c r="I51" s="6"/>
      <c r="J51" s="6"/>
      <c r="K51" s="6"/>
      <c r="L51" s="6"/>
      <c r="M51" s="67" t="s">
        <v>7</v>
      </c>
      <c r="N51" s="63" t="s">
        <v>8</v>
      </c>
    </row>
    <row r="52" spans="2:14" ht="15" customHeight="1" thickBot="1" x14ac:dyDescent="0.3">
      <c r="B52" s="66"/>
      <c r="C52" s="5" t="s">
        <v>2</v>
      </c>
      <c r="D52" s="5" t="s">
        <v>3</v>
      </c>
      <c r="E52" s="68"/>
      <c r="F52" s="68"/>
      <c r="G52" s="70"/>
      <c r="H52" s="5">
        <v>7</v>
      </c>
      <c r="I52" s="5">
        <v>21</v>
      </c>
      <c r="J52" s="5">
        <v>28</v>
      </c>
      <c r="K52" s="5"/>
      <c r="L52" s="5"/>
      <c r="M52" s="68"/>
      <c r="N52" s="64"/>
    </row>
    <row r="53" spans="2:14" x14ac:dyDescent="0.25">
      <c r="B53" s="26">
        <v>46083</v>
      </c>
      <c r="C53" s="13">
        <v>497</v>
      </c>
      <c r="D53" s="14" t="s">
        <v>16</v>
      </c>
      <c r="E53" s="1" t="s">
        <v>253</v>
      </c>
      <c r="F53" s="3">
        <v>500000</v>
      </c>
      <c r="G53" s="35">
        <v>500000</v>
      </c>
      <c r="H53" s="34">
        <v>50000</v>
      </c>
      <c r="I53" s="34">
        <v>50000</v>
      </c>
      <c r="J53" s="34">
        <v>100000</v>
      </c>
      <c r="K53" s="34"/>
      <c r="L53" s="27"/>
      <c r="M53" s="28">
        <f t="shared" ref="M53:M57" si="19">SUM(H53:L53)</f>
        <v>200000</v>
      </c>
      <c r="N53" s="28">
        <f>G53-M53</f>
        <v>300000</v>
      </c>
    </row>
    <row r="54" spans="2:14" ht="15" customHeight="1" x14ac:dyDescent="0.25">
      <c r="B54" s="26"/>
      <c r="C54" s="13">
        <v>617</v>
      </c>
      <c r="D54" s="14" t="s">
        <v>15</v>
      </c>
      <c r="E54" s="1" t="s">
        <v>177</v>
      </c>
      <c r="F54" s="3">
        <v>1500000</v>
      </c>
      <c r="G54" s="35">
        <v>1200000</v>
      </c>
      <c r="H54" s="34">
        <v>100000</v>
      </c>
      <c r="I54" s="34">
        <v>200000</v>
      </c>
      <c r="J54" s="34">
        <v>150000</v>
      </c>
      <c r="K54" s="34"/>
      <c r="L54" s="27"/>
      <c r="M54" s="28">
        <f>SUM(H54:L54)</f>
        <v>450000</v>
      </c>
      <c r="N54" s="28">
        <f t="shared" ref="N54:N55" si="20">G54-M54</f>
        <v>750000</v>
      </c>
    </row>
    <row r="55" spans="2:14" x14ac:dyDescent="0.25">
      <c r="B55" s="26">
        <v>46086</v>
      </c>
      <c r="C55" s="13">
        <v>652</v>
      </c>
      <c r="D55" s="14" t="s">
        <v>15</v>
      </c>
      <c r="E55" s="1" t="s">
        <v>252</v>
      </c>
      <c r="F55" s="3">
        <v>500000</v>
      </c>
      <c r="G55" s="35">
        <v>350000</v>
      </c>
      <c r="H55" s="34">
        <v>50000</v>
      </c>
      <c r="I55" s="34">
        <v>50000</v>
      </c>
      <c r="J55" s="34">
        <v>50000</v>
      </c>
      <c r="K55" s="34"/>
      <c r="L55" s="27"/>
      <c r="M55" s="28">
        <f>SUM(H55:L55)</f>
        <v>150000</v>
      </c>
      <c r="N55" s="28">
        <f t="shared" si="20"/>
        <v>200000</v>
      </c>
    </row>
    <row r="56" spans="2:14" ht="15" customHeight="1" x14ac:dyDescent="0.25">
      <c r="B56" s="10"/>
      <c r="C56" s="13">
        <v>613</v>
      </c>
      <c r="D56" s="14" t="s">
        <v>16</v>
      </c>
      <c r="E56" s="1" t="s">
        <v>247</v>
      </c>
      <c r="F56" s="3">
        <v>1000000</v>
      </c>
      <c r="G56" s="35">
        <v>600000</v>
      </c>
      <c r="H56" s="31">
        <v>100000</v>
      </c>
      <c r="I56" s="31">
        <v>100000</v>
      </c>
      <c r="J56" s="31">
        <v>100000</v>
      </c>
      <c r="K56" s="31"/>
      <c r="L56" s="3"/>
      <c r="M56" s="30">
        <f t="shared" si="19"/>
        <v>300000</v>
      </c>
      <c r="N56" s="4">
        <f t="shared" ref="N56:N62" si="21">G56-M56</f>
        <v>300000</v>
      </c>
    </row>
    <row r="57" spans="2:14" ht="15" customHeight="1" x14ac:dyDescent="0.25">
      <c r="B57" s="10">
        <v>46087</v>
      </c>
      <c r="C57" s="13">
        <v>1190</v>
      </c>
      <c r="D57" s="14" t="s">
        <v>15</v>
      </c>
      <c r="E57" s="1" t="s">
        <v>174</v>
      </c>
      <c r="F57" s="31">
        <v>2500000</v>
      </c>
      <c r="G57" s="35">
        <v>2000000</v>
      </c>
      <c r="H57" s="31"/>
      <c r="I57" s="31">
        <v>250000</v>
      </c>
      <c r="J57" s="31"/>
      <c r="K57" s="31"/>
      <c r="L57" s="3"/>
      <c r="M57" s="4">
        <f t="shared" si="19"/>
        <v>250000</v>
      </c>
      <c r="N57" s="4">
        <f t="shared" si="21"/>
        <v>1750000</v>
      </c>
    </row>
    <row r="58" spans="2:14" ht="15" customHeight="1" x14ac:dyDescent="0.25">
      <c r="B58" s="10">
        <v>46093</v>
      </c>
      <c r="C58" s="13">
        <v>269</v>
      </c>
      <c r="D58" s="14" t="s">
        <v>15</v>
      </c>
      <c r="E58" s="1" t="s">
        <v>261</v>
      </c>
      <c r="F58" s="3">
        <v>1000000</v>
      </c>
      <c r="G58" s="35">
        <v>700000</v>
      </c>
      <c r="H58" s="31">
        <v>100000</v>
      </c>
      <c r="I58" s="31">
        <v>100000</v>
      </c>
      <c r="J58" s="31">
        <v>100000</v>
      </c>
      <c r="K58" s="31"/>
      <c r="L58" s="3"/>
      <c r="M58" s="3">
        <f>SUM(H58:L58)</f>
        <v>300000</v>
      </c>
      <c r="N58" s="4">
        <f t="shared" si="21"/>
        <v>400000</v>
      </c>
    </row>
    <row r="59" spans="2:14" ht="15" customHeight="1" x14ac:dyDescent="0.25">
      <c r="B59" s="10"/>
      <c r="C59" s="13">
        <v>130</v>
      </c>
      <c r="D59" s="14" t="s">
        <v>15</v>
      </c>
      <c r="E59" s="1" t="s">
        <v>199</v>
      </c>
      <c r="F59" s="3">
        <v>1000000</v>
      </c>
      <c r="G59" s="35">
        <v>900000</v>
      </c>
      <c r="H59" s="31">
        <v>100000</v>
      </c>
      <c r="I59" s="31">
        <v>100000</v>
      </c>
      <c r="J59" s="31">
        <v>100000</v>
      </c>
      <c r="K59" s="31"/>
      <c r="L59" s="3"/>
      <c r="M59" s="4">
        <f>SUM(H59:L59)</f>
        <v>300000</v>
      </c>
      <c r="N59" s="4">
        <f t="shared" si="21"/>
        <v>600000</v>
      </c>
    </row>
    <row r="60" spans="2:14" ht="15" customHeight="1" x14ac:dyDescent="0.25">
      <c r="B60" s="10"/>
      <c r="C60" s="13">
        <v>1232</v>
      </c>
      <c r="D60" s="14" t="s">
        <v>16</v>
      </c>
      <c r="E60" s="1" t="s">
        <v>131</v>
      </c>
      <c r="F60" s="3">
        <v>1500000</v>
      </c>
      <c r="G60" s="35">
        <v>1050000</v>
      </c>
      <c r="H60" s="31">
        <v>150000</v>
      </c>
      <c r="I60" s="31">
        <v>150000</v>
      </c>
      <c r="J60" s="31">
        <v>150000</v>
      </c>
      <c r="K60" s="31"/>
      <c r="L60" s="3"/>
      <c r="M60" s="30">
        <f>SUM(H60:L60)</f>
        <v>450000</v>
      </c>
      <c r="N60" s="4">
        <f t="shared" si="21"/>
        <v>600000</v>
      </c>
    </row>
    <row r="61" spans="2:14" ht="15" customHeight="1" x14ac:dyDescent="0.25">
      <c r="B61" s="10"/>
      <c r="C61" s="13">
        <v>1233</v>
      </c>
      <c r="D61" s="14" t="s">
        <v>16</v>
      </c>
      <c r="E61" s="1" t="s">
        <v>262</v>
      </c>
      <c r="F61" s="3">
        <v>3000000</v>
      </c>
      <c r="G61" s="35">
        <v>2250000</v>
      </c>
      <c r="H61" s="31"/>
      <c r="I61" s="31">
        <v>50000</v>
      </c>
      <c r="J61" s="31"/>
      <c r="K61" s="31"/>
      <c r="L61" s="3"/>
      <c r="M61" s="30">
        <f>SUM(H61:L61)</f>
        <v>50000</v>
      </c>
      <c r="N61" s="4">
        <f t="shared" si="21"/>
        <v>2200000</v>
      </c>
    </row>
    <row r="62" spans="2:14" ht="15" customHeight="1" x14ac:dyDescent="0.25">
      <c r="B62" s="24"/>
      <c r="C62" s="22"/>
      <c r="D62" s="23"/>
      <c r="E62" s="24"/>
      <c r="F62" s="33">
        <f>SUM(F53:F61)</f>
        <v>12500000</v>
      </c>
      <c r="G62" s="36">
        <f>SUM(G53:G61)</f>
        <v>9550000</v>
      </c>
      <c r="H62" s="33">
        <f>SUM(H53:H61)</f>
        <v>650000</v>
      </c>
      <c r="I62" s="33">
        <f t="shared" ref="I62:M62" si="22">SUM(I53:I61)</f>
        <v>1050000</v>
      </c>
      <c r="J62" s="33">
        <f t="shared" si="22"/>
        <v>750000</v>
      </c>
      <c r="K62" s="33">
        <f t="shared" si="22"/>
        <v>0</v>
      </c>
      <c r="L62" s="33">
        <f t="shared" si="22"/>
        <v>0</v>
      </c>
      <c r="M62" s="33">
        <f t="shared" si="22"/>
        <v>2450000</v>
      </c>
      <c r="N62" s="20">
        <f t="shared" si="21"/>
        <v>7100000</v>
      </c>
    </row>
    <row r="63" spans="2:14" ht="15" customHeight="1" thickBot="1" x14ac:dyDescent="0.3"/>
    <row r="64" spans="2:14" ht="15" customHeight="1" x14ac:dyDescent="0.25">
      <c r="B64" s="65" t="s">
        <v>0</v>
      </c>
      <c r="C64" s="6" t="s">
        <v>1</v>
      </c>
      <c r="D64" s="6"/>
      <c r="E64" s="67" t="s">
        <v>4</v>
      </c>
      <c r="F64" s="67" t="s">
        <v>5</v>
      </c>
      <c r="G64" s="69" t="s">
        <v>6</v>
      </c>
      <c r="H64" s="6"/>
      <c r="I64" s="6"/>
      <c r="J64" s="6"/>
      <c r="K64" s="6"/>
      <c r="L64" s="6"/>
      <c r="M64" s="67" t="s">
        <v>7</v>
      </c>
      <c r="N64" s="63" t="s">
        <v>8</v>
      </c>
    </row>
    <row r="65" spans="2:14" ht="15" customHeight="1" thickBot="1" x14ac:dyDescent="0.3">
      <c r="B65" s="66"/>
      <c r="C65" s="5" t="s">
        <v>2</v>
      </c>
      <c r="D65" s="5" t="s">
        <v>3</v>
      </c>
      <c r="E65" s="68"/>
      <c r="F65" s="68"/>
      <c r="G65" s="70"/>
      <c r="H65" s="5">
        <v>7</v>
      </c>
      <c r="I65" s="5">
        <v>21</v>
      </c>
      <c r="J65" s="5">
        <v>28</v>
      </c>
      <c r="K65" s="5"/>
      <c r="L65" s="5"/>
      <c r="M65" s="68"/>
      <c r="N65" s="64"/>
    </row>
    <row r="66" spans="2:14" ht="15" customHeight="1" x14ac:dyDescent="0.25">
      <c r="B66" s="26">
        <v>46114</v>
      </c>
      <c r="C66" s="13">
        <v>77</v>
      </c>
      <c r="D66" s="14" t="s">
        <v>15</v>
      </c>
      <c r="E66" s="1" t="s">
        <v>265</v>
      </c>
      <c r="F66" s="3">
        <v>1000000</v>
      </c>
      <c r="G66" s="35">
        <f>F66*120%</f>
        <v>1200000</v>
      </c>
      <c r="H66" s="34"/>
      <c r="I66" s="34">
        <v>100000</v>
      </c>
      <c r="J66" s="34"/>
      <c r="K66" s="34"/>
      <c r="L66" s="27"/>
      <c r="M66" s="28">
        <f t="shared" ref="M66:M68" si="23">SUM(H66:L66)</f>
        <v>100000</v>
      </c>
      <c r="N66" s="28">
        <f>G66-M66</f>
        <v>1100000</v>
      </c>
    </row>
    <row r="67" spans="2:14" ht="15" customHeight="1" x14ac:dyDescent="0.25">
      <c r="B67" s="10"/>
      <c r="C67" s="13">
        <v>860</v>
      </c>
      <c r="D67" s="14" t="s">
        <v>15</v>
      </c>
      <c r="E67" s="1" t="s">
        <v>112</v>
      </c>
      <c r="F67" s="3">
        <v>1000000</v>
      </c>
      <c r="G67" s="35">
        <v>1050000</v>
      </c>
      <c r="H67" s="31"/>
      <c r="I67" s="31">
        <v>100000</v>
      </c>
      <c r="J67" s="31">
        <v>100000</v>
      </c>
      <c r="K67" s="31"/>
      <c r="L67" s="3"/>
      <c r="M67" s="30">
        <f t="shared" si="23"/>
        <v>200000</v>
      </c>
      <c r="N67" s="4">
        <f t="shared" ref="N67:N79" si="24">G67-M67</f>
        <v>850000</v>
      </c>
    </row>
    <row r="68" spans="2:14" ht="15" customHeight="1" x14ac:dyDescent="0.25">
      <c r="B68" s="10">
        <v>46121</v>
      </c>
      <c r="C68" s="13">
        <v>202</v>
      </c>
      <c r="D68" s="14" t="s">
        <v>15</v>
      </c>
      <c r="E68" s="1" t="s">
        <v>88</v>
      </c>
      <c r="F68" s="3">
        <v>1000000</v>
      </c>
      <c r="G68" s="35">
        <v>1000000</v>
      </c>
      <c r="H68" s="31">
        <v>100000</v>
      </c>
      <c r="I68" s="31">
        <v>100000</v>
      </c>
      <c r="J68" s="31">
        <v>100000</v>
      </c>
      <c r="K68" s="31"/>
      <c r="L68" s="3"/>
      <c r="M68" s="4">
        <f t="shared" si="23"/>
        <v>300000</v>
      </c>
      <c r="N68" s="4">
        <f t="shared" si="24"/>
        <v>700000</v>
      </c>
    </row>
    <row r="69" spans="2:14" ht="15" customHeight="1" x14ac:dyDescent="0.25">
      <c r="B69" s="10"/>
      <c r="C69" s="13">
        <v>1086</v>
      </c>
      <c r="D69" s="14" t="s">
        <v>16</v>
      </c>
      <c r="E69" s="1" t="s">
        <v>272</v>
      </c>
      <c r="F69" s="3">
        <v>1000000</v>
      </c>
      <c r="G69" s="35">
        <v>900000</v>
      </c>
      <c r="H69" s="31">
        <v>100000</v>
      </c>
      <c r="I69" s="31"/>
      <c r="J69" s="31">
        <v>200000</v>
      </c>
      <c r="K69" s="31"/>
      <c r="L69" s="3"/>
      <c r="M69" s="3">
        <f>SUM(H69:L69)</f>
        <v>300000</v>
      </c>
      <c r="N69" s="4">
        <f t="shared" si="24"/>
        <v>600000</v>
      </c>
    </row>
    <row r="70" spans="2:14" x14ac:dyDescent="0.25">
      <c r="B70" s="10"/>
      <c r="C70" s="13">
        <v>892</v>
      </c>
      <c r="D70" s="14" t="s">
        <v>15</v>
      </c>
      <c r="E70" s="1" t="s">
        <v>46</v>
      </c>
      <c r="F70" s="3">
        <v>1000000</v>
      </c>
      <c r="G70" s="35">
        <v>1000000</v>
      </c>
      <c r="H70" s="31">
        <v>100000</v>
      </c>
      <c r="I70" s="31">
        <v>100000</v>
      </c>
      <c r="J70" s="31">
        <v>100000</v>
      </c>
      <c r="K70" s="31"/>
      <c r="L70" s="3"/>
      <c r="M70" s="4">
        <f>SUM(H70:L70)</f>
        <v>300000</v>
      </c>
      <c r="N70" s="4">
        <f t="shared" si="24"/>
        <v>700000</v>
      </c>
    </row>
    <row r="71" spans="2:14" x14ac:dyDescent="0.25">
      <c r="B71" s="10"/>
      <c r="C71" s="13">
        <v>834</v>
      </c>
      <c r="D71" s="14" t="s">
        <v>15</v>
      </c>
      <c r="E71" s="1" t="s">
        <v>105</v>
      </c>
      <c r="F71" s="3">
        <v>2000000</v>
      </c>
      <c r="G71" s="35">
        <f t="shared" ref="G71:G78" si="25">F71*120%</f>
        <v>2400000</v>
      </c>
      <c r="H71" s="31"/>
      <c r="I71" s="31"/>
      <c r="J71" s="31"/>
      <c r="K71" s="31"/>
      <c r="L71" s="3"/>
      <c r="M71" s="30">
        <f>SUM(H71:L71)</f>
        <v>0</v>
      </c>
      <c r="N71" s="4">
        <f t="shared" si="24"/>
        <v>2400000</v>
      </c>
    </row>
    <row r="72" spans="2:14" ht="15.75" customHeight="1" x14ac:dyDescent="0.25">
      <c r="B72" s="10"/>
      <c r="C72" s="13">
        <v>26</v>
      </c>
      <c r="D72" s="14" t="s">
        <v>15</v>
      </c>
      <c r="E72" s="1" t="s">
        <v>114</v>
      </c>
      <c r="F72" s="3">
        <v>2100000</v>
      </c>
      <c r="G72" s="35">
        <v>2310000</v>
      </c>
      <c r="H72" s="31">
        <v>110000</v>
      </c>
      <c r="I72" s="31">
        <v>210000</v>
      </c>
      <c r="J72" s="31">
        <v>100000</v>
      </c>
      <c r="K72" s="31"/>
      <c r="L72" s="3"/>
      <c r="M72" s="30">
        <f>SUM(H72:L72)</f>
        <v>420000</v>
      </c>
      <c r="N72" s="4">
        <f t="shared" si="24"/>
        <v>1890000</v>
      </c>
    </row>
    <row r="73" spans="2:14" ht="15.75" customHeight="1" x14ac:dyDescent="0.25">
      <c r="B73" s="10">
        <v>46128</v>
      </c>
      <c r="C73" s="13">
        <v>593</v>
      </c>
      <c r="D73" s="14" t="s">
        <v>15</v>
      </c>
      <c r="E73" s="1" t="s">
        <v>279</v>
      </c>
      <c r="F73" s="31">
        <v>3500000</v>
      </c>
      <c r="G73" s="35">
        <f t="shared" si="25"/>
        <v>4200000</v>
      </c>
      <c r="H73" s="31"/>
      <c r="I73" s="31">
        <v>250000</v>
      </c>
      <c r="J73" s="31"/>
      <c r="K73" s="31"/>
      <c r="L73" s="3"/>
      <c r="M73" s="30">
        <f t="shared" ref="M73" si="26">SUM(H73:L73)</f>
        <v>250000</v>
      </c>
      <c r="N73" s="4">
        <f t="shared" si="24"/>
        <v>3950000</v>
      </c>
    </row>
    <row r="74" spans="2:14" x14ac:dyDescent="0.25">
      <c r="B74" s="10">
        <v>46135</v>
      </c>
      <c r="C74" s="14">
        <v>282</v>
      </c>
      <c r="D74" s="14" t="s">
        <v>16</v>
      </c>
      <c r="E74" s="1" t="s">
        <v>284</v>
      </c>
      <c r="F74" s="3">
        <v>1000000</v>
      </c>
      <c r="G74" s="35">
        <v>1100000</v>
      </c>
      <c r="H74" s="31">
        <v>100000</v>
      </c>
      <c r="I74" s="31">
        <v>100000</v>
      </c>
      <c r="J74" s="31"/>
      <c r="K74" s="31"/>
      <c r="L74" s="3"/>
      <c r="M74" s="30">
        <f t="shared" ref="M74:M79" si="27">SUM(H74:L74)</f>
        <v>200000</v>
      </c>
      <c r="N74" s="4">
        <f t="shared" si="24"/>
        <v>900000</v>
      </c>
    </row>
    <row r="75" spans="2:14" ht="15" customHeight="1" x14ac:dyDescent="0.25">
      <c r="B75" s="10"/>
      <c r="C75" s="14">
        <v>1037</v>
      </c>
      <c r="D75" s="14" t="s">
        <v>15</v>
      </c>
      <c r="E75" s="1" t="s">
        <v>180</v>
      </c>
      <c r="F75" s="3">
        <v>1000000</v>
      </c>
      <c r="G75" s="35">
        <f t="shared" si="25"/>
        <v>1200000</v>
      </c>
      <c r="H75" s="31"/>
      <c r="I75" s="31"/>
      <c r="J75" s="31"/>
      <c r="K75" s="31"/>
      <c r="L75" s="3"/>
      <c r="M75" s="30">
        <f t="shared" si="27"/>
        <v>0</v>
      </c>
      <c r="N75" s="4">
        <f t="shared" si="24"/>
        <v>1200000</v>
      </c>
    </row>
    <row r="76" spans="2:14" x14ac:dyDescent="0.25">
      <c r="B76" s="10"/>
      <c r="C76" s="14">
        <v>88</v>
      </c>
      <c r="D76" s="14" t="s">
        <v>15</v>
      </c>
      <c r="E76" s="1" t="s">
        <v>285</v>
      </c>
      <c r="F76" s="3">
        <v>1500000</v>
      </c>
      <c r="G76" s="35">
        <v>1650000</v>
      </c>
      <c r="H76" s="31"/>
      <c r="I76" s="31">
        <v>150000</v>
      </c>
      <c r="J76" s="31"/>
      <c r="K76" s="31"/>
      <c r="L76" s="3"/>
      <c r="M76" s="30">
        <f t="shared" si="27"/>
        <v>150000</v>
      </c>
      <c r="N76" s="4">
        <f t="shared" si="24"/>
        <v>1500000</v>
      </c>
    </row>
    <row r="77" spans="2:14" ht="15" customHeight="1" x14ac:dyDescent="0.25">
      <c r="B77" s="10">
        <v>46142</v>
      </c>
      <c r="C77" s="13">
        <v>280</v>
      </c>
      <c r="D77" s="14" t="s">
        <v>15</v>
      </c>
      <c r="E77" s="1" t="s">
        <v>298</v>
      </c>
      <c r="F77" s="31">
        <v>1000000</v>
      </c>
      <c r="G77" s="35">
        <f t="shared" si="25"/>
        <v>1200000</v>
      </c>
      <c r="H77" s="31"/>
      <c r="I77" s="31">
        <v>100000</v>
      </c>
      <c r="J77" s="31">
        <v>50000</v>
      </c>
      <c r="K77" s="31"/>
      <c r="L77" s="3"/>
      <c r="M77" s="30">
        <f t="shared" si="27"/>
        <v>150000</v>
      </c>
      <c r="N77" s="4">
        <f t="shared" si="24"/>
        <v>1050000</v>
      </c>
    </row>
    <row r="78" spans="2:14" ht="15" customHeight="1" x14ac:dyDescent="0.25">
      <c r="B78" s="10"/>
      <c r="C78" s="13">
        <v>730</v>
      </c>
      <c r="D78" s="14" t="s">
        <v>15</v>
      </c>
      <c r="E78" s="1" t="s">
        <v>299</v>
      </c>
      <c r="F78" s="31">
        <v>1500000</v>
      </c>
      <c r="G78" s="35">
        <f t="shared" si="25"/>
        <v>1800000</v>
      </c>
      <c r="H78" s="31">
        <v>150000</v>
      </c>
      <c r="I78" s="31">
        <v>150000</v>
      </c>
      <c r="J78" s="31">
        <v>150000</v>
      </c>
      <c r="K78" s="31"/>
      <c r="L78" s="3"/>
      <c r="M78" s="30">
        <f t="shared" si="27"/>
        <v>450000</v>
      </c>
      <c r="N78" s="4">
        <f t="shared" si="24"/>
        <v>1350000</v>
      </c>
    </row>
    <row r="79" spans="2:14" ht="15" customHeight="1" x14ac:dyDescent="0.25">
      <c r="B79" s="24"/>
      <c r="C79" s="22"/>
      <c r="D79" s="23"/>
      <c r="E79" s="24"/>
      <c r="F79" s="33">
        <f>SUM(F66:F78)</f>
        <v>18600000</v>
      </c>
      <c r="G79" s="36">
        <f>SUM(G66:G78)</f>
        <v>21010000</v>
      </c>
      <c r="H79" s="33">
        <f>SUM(H66:H78)</f>
        <v>660000</v>
      </c>
      <c r="I79" s="33">
        <f>SUM(I66:I78)</f>
        <v>1360000</v>
      </c>
      <c r="J79" s="33">
        <f>SUM(J67:J78)</f>
        <v>800000</v>
      </c>
      <c r="K79" s="33">
        <f>SUM(K67:K78)</f>
        <v>0</v>
      </c>
      <c r="L79" s="20">
        <f>SUM(L67:L78)</f>
        <v>0</v>
      </c>
      <c r="M79" s="43">
        <f t="shared" si="27"/>
        <v>2820000</v>
      </c>
      <c r="N79" s="20">
        <f t="shared" si="24"/>
        <v>18190000</v>
      </c>
    </row>
    <row r="80" spans="2:14" ht="15" customHeight="1" x14ac:dyDescent="0.25"/>
    <row r="81" spans="2:14" x14ac:dyDescent="0.25">
      <c r="B81" s="7"/>
      <c r="C81" s="7"/>
      <c r="D81" s="7"/>
      <c r="E81" s="9" t="s">
        <v>6</v>
      </c>
      <c r="F81" s="8">
        <f>F20+F30+F49+F62+F79</f>
        <v>82700000</v>
      </c>
      <c r="G81" s="8">
        <f t="shared" ref="G81:M81" si="28">G20+G30+G49+G62+G79</f>
        <v>75210000</v>
      </c>
      <c r="H81" s="8">
        <f t="shared" si="28"/>
        <v>6490000</v>
      </c>
      <c r="I81" s="8">
        <f t="shared" si="28"/>
        <v>5150000</v>
      </c>
      <c r="J81" s="8">
        <f t="shared" si="28"/>
        <v>5250000</v>
      </c>
      <c r="K81" s="8">
        <f t="shared" si="28"/>
        <v>0</v>
      </c>
      <c r="L81" s="8">
        <f t="shared" si="28"/>
        <v>0</v>
      </c>
      <c r="M81" s="8">
        <f t="shared" si="28"/>
        <v>16740000</v>
      </c>
      <c r="N81" s="8">
        <f>G81-M81</f>
        <v>58470000</v>
      </c>
    </row>
    <row r="82" spans="2:14" ht="15.75" thickBot="1" x14ac:dyDescent="0.3"/>
    <row r="83" spans="2:14" x14ac:dyDescent="0.25">
      <c r="B83" s="65" t="s">
        <v>0</v>
      </c>
      <c r="C83" s="6" t="s">
        <v>1</v>
      </c>
      <c r="D83" s="6"/>
      <c r="E83" s="67" t="s">
        <v>4</v>
      </c>
      <c r="F83" s="67" t="s">
        <v>5</v>
      </c>
      <c r="G83" s="69" t="s">
        <v>6</v>
      </c>
      <c r="H83" s="6"/>
      <c r="I83" s="6"/>
      <c r="J83" s="6"/>
      <c r="K83" s="6"/>
      <c r="L83" s="6"/>
      <c r="M83" s="67" t="s">
        <v>7</v>
      </c>
      <c r="N83" s="63" t="s">
        <v>8</v>
      </c>
    </row>
    <row r="84" spans="2:14" ht="15" customHeight="1" thickBot="1" x14ac:dyDescent="0.3">
      <c r="B84" s="66"/>
      <c r="C84" s="5" t="s">
        <v>2</v>
      </c>
      <c r="D84" s="5" t="s">
        <v>3</v>
      </c>
      <c r="E84" s="68"/>
      <c r="F84" s="68"/>
      <c r="G84" s="70"/>
      <c r="H84" s="5">
        <v>7</v>
      </c>
      <c r="I84" s="5">
        <v>21</v>
      </c>
      <c r="J84" s="5">
        <v>28</v>
      </c>
      <c r="K84" s="5"/>
      <c r="L84" s="5"/>
      <c r="M84" s="68"/>
      <c r="N84" s="64"/>
    </row>
    <row r="85" spans="2:14" ht="15" customHeight="1" x14ac:dyDescent="0.25">
      <c r="B85" s="26">
        <v>46149</v>
      </c>
      <c r="C85" s="13">
        <v>977</v>
      </c>
      <c r="D85" s="14" t="s">
        <v>15</v>
      </c>
      <c r="E85" s="1" t="s">
        <v>144</v>
      </c>
      <c r="F85" s="3">
        <v>1000000</v>
      </c>
      <c r="G85" s="35">
        <f>F85*120%</f>
        <v>1200000</v>
      </c>
      <c r="H85" s="34"/>
      <c r="I85" s="34">
        <v>100000</v>
      </c>
      <c r="J85" s="34"/>
      <c r="K85" s="34"/>
      <c r="L85" s="27"/>
      <c r="M85" s="28">
        <f t="shared" ref="M85:M87" si="29">SUM(H85:L85)</f>
        <v>100000</v>
      </c>
      <c r="N85" s="28">
        <f>G85-M85</f>
        <v>1100000</v>
      </c>
    </row>
    <row r="86" spans="2:14" ht="15.75" customHeight="1" x14ac:dyDescent="0.25">
      <c r="B86" s="10"/>
      <c r="C86" s="13">
        <v>262</v>
      </c>
      <c r="D86" s="14" t="s">
        <v>15</v>
      </c>
      <c r="E86" s="1" t="s">
        <v>164</v>
      </c>
      <c r="F86" s="3">
        <v>1000000</v>
      </c>
      <c r="G86" s="35">
        <f t="shared" ref="G86:G94" si="30">F86*120%</f>
        <v>1200000</v>
      </c>
      <c r="H86" s="31"/>
      <c r="I86" s="31">
        <v>100000</v>
      </c>
      <c r="J86" s="31">
        <v>50000</v>
      </c>
      <c r="K86" s="31"/>
      <c r="L86" s="3"/>
      <c r="M86" s="30">
        <f t="shared" si="29"/>
        <v>150000</v>
      </c>
      <c r="N86" s="4">
        <f t="shared" ref="N86:N95" si="31">G86-M86</f>
        <v>1050000</v>
      </c>
    </row>
    <row r="87" spans="2:14" ht="15" customHeight="1" x14ac:dyDescent="0.25">
      <c r="B87" s="10"/>
      <c r="C87" s="13">
        <v>442</v>
      </c>
      <c r="D87" s="14" t="s">
        <v>15</v>
      </c>
      <c r="E87" s="1" t="s">
        <v>214</v>
      </c>
      <c r="F87" s="3">
        <v>1500000</v>
      </c>
      <c r="G87" s="35">
        <f t="shared" si="30"/>
        <v>1800000</v>
      </c>
      <c r="H87" s="31"/>
      <c r="I87" s="31">
        <v>150000</v>
      </c>
      <c r="J87" s="31">
        <v>150000</v>
      </c>
      <c r="K87" s="31"/>
      <c r="L87" s="3"/>
      <c r="M87" s="4">
        <f t="shared" si="29"/>
        <v>300000</v>
      </c>
      <c r="N87" s="4">
        <f t="shared" si="31"/>
        <v>1500000</v>
      </c>
    </row>
    <row r="88" spans="2:14" ht="16.5" customHeight="1" x14ac:dyDescent="0.25">
      <c r="B88" s="10"/>
      <c r="C88" s="13">
        <v>311</v>
      </c>
      <c r="D88" s="14" t="s">
        <v>15</v>
      </c>
      <c r="E88" s="1" t="s">
        <v>315</v>
      </c>
      <c r="F88" s="3">
        <v>2000000</v>
      </c>
      <c r="G88" s="35">
        <f t="shared" si="30"/>
        <v>2400000</v>
      </c>
      <c r="H88" s="31"/>
      <c r="I88" s="31">
        <v>150000</v>
      </c>
      <c r="J88" s="31">
        <v>100000</v>
      </c>
      <c r="K88" s="31"/>
      <c r="L88" s="3"/>
      <c r="M88" s="3">
        <f>SUM(H88:L88)</f>
        <v>250000</v>
      </c>
      <c r="N88" s="4">
        <f t="shared" si="31"/>
        <v>2150000</v>
      </c>
    </row>
    <row r="89" spans="2:14" x14ac:dyDescent="0.25">
      <c r="B89" s="10">
        <v>46163</v>
      </c>
      <c r="C89" s="13">
        <v>305</v>
      </c>
      <c r="D89" s="14" t="s">
        <v>15</v>
      </c>
      <c r="E89" s="1" t="s">
        <v>218</v>
      </c>
      <c r="F89" s="3">
        <v>300000</v>
      </c>
      <c r="G89" s="35">
        <f t="shared" si="30"/>
        <v>360000</v>
      </c>
      <c r="H89" s="31"/>
      <c r="I89" s="31"/>
      <c r="J89" s="31">
        <v>30000</v>
      </c>
      <c r="K89" s="31"/>
      <c r="L89" s="3"/>
      <c r="M89" s="4">
        <f>SUM(H89:L89)</f>
        <v>30000</v>
      </c>
      <c r="N89" s="4">
        <f t="shared" si="31"/>
        <v>330000</v>
      </c>
    </row>
    <row r="90" spans="2:14" x14ac:dyDescent="0.25">
      <c r="B90" s="10"/>
      <c r="C90" s="13">
        <v>1002</v>
      </c>
      <c r="D90" s="14" t="s">
        <v>15</v>
      </c>
      <c r="E90" s="1" t="s">
        <v>198</v>
      </c>
      <c r="F90" s="3">
        <v>500000</v>
      </c>
      <c r="G90" s="35">
        <f t="shared" si="30"/>
        <v>600000</v>
      </c>
      <c r="H90" s="31"/>
      <c r="I90" s="31"/>
      <c r="J90" s="31">
        <v>50000</v>
      </c>
      <c r="K90" s="31"/>
      <c r="L90" s="3"/>
      <c r="M90" s="30">
        <f>SUM(H90:L90)</f>
        <v>50000</v>
      </c>
      <c r="N90" s="4">
        <f t="shared" si="31"/>
        <v>550000</v>
      </c>
    </row>
    <row r="91" spans="2:14" x14ac:dyDescent="0.25">
      <c r="B91" s="10"/>
      <c r="C91" s="13">
        <v>621</v>
      </c>
      <c r="D91" s="14" t="s">
        <v>15</v>
      </c>
      <c r="E91" s="1" t="s">
        <v>321</v>
      </c>
      <c r="F91" s="3">
        <v>500000</v>
      </c>
      <c r="G91" s="35">
        <f t="shared" si="30"/>
        <v>600000</v>
      </c>
      <c r="H91" s="31"/>
      <c r="I91" s="31"/>
      <c r="J91" s="31"/>
      <c r="K91" s="31"/>
      <c r="L91" s="3"/>
      <c r="M91" s="30">
        <f>SUM(H91:L91)</f>
        <v>0</v>
      </c>
      <c r="N91" s="4">
        <f t="shared" si="31"/>
        <v>600000</v>
      </c>
    </row>
    <row r="92" spans="2:14" x14ac:dyDescent="0.25">
      <c r="B92" s="10">
        <v>46164</v>
      </c>
      <c r="C92" s="13">
        <v>406</v>
      </c>
      <c r="D92" s="14" t="s">
        <v>16</v>
      </c>
      <c r="E92" s="1" t="s">
        <v>324</v>
      </c>
      <c r="F92" s="3">
        <v>1000000</v>
      </c>
      <c r="G92" s="35">
        <f t="shared" si="30"/>
        <v>1200000</v>
      </c>
      <c r="H92" s="31"/>
      <c r="I92" s="31"/>
      <c r="J92" s="31">
        <v>100000</v>
      </c>
      <c r="K92" s="31"/>
      <c r="L92" s="3"/>
      <c r="M92" s="30">
        <f t="shared" ref="M92" si="32">SUM(H92:L92)</f>
        <v>100000</v>
      </c>
      <c r="N92" s="4">
        <f t="shared" si="31"/>
        <v>1100000</v>
      </c>
    </row>
    <row r="93" spans="2:14" x14ac:dyDescent="0.25">
      <c r="B93" s="10">
        <v>46170</v>
      </c>
      <c r="C93" s="14">
        <v>938</v>
      </c>
      <c r="D93" s="14" t="s">
        <v>15</v>
      </c>
      <c r="E93" s="1" t="s">
        <v>200</v>
      </c>
      <c r="F93" s="3">
        <v>1000000</v>
      </c>
      <c r="G93" s="35">
        <f t="shared" si="30"/>
        <v>1200000</v>
      </c>
      <c r="H93" s="31"/>
      <c r="I93" s="31"/>
      <c r="J93" s="31"/>
      <c r="K93" s="31"/>
      <c r="L93" s="3"/>
      <c r="M93" s="30">
        <f>SUM(J93:L93)</f>
        <v>0</v>
      </c>
      <c r="N93" s="4">
        <f t="shared" si="31"/>
        <v>1200000</v>
      </c>
    </row>
    <row r="94" spans="2:14" x14ac:dyDescent="0.25">
      <c r="B94" s="10"/>
      <c r="C94" s="14">
        <v>747</v>
      </c>
      <c r="D94" s="14" t="s">
        <v>15</v>
      </c>
      <c r="E94" s="1" t="s">
        <v>264</v>
      </c>
      <c r="F94" s="3">
        <v>2000000</v>
      </c>
      <c r="G94" s="35">
        <f t="shared" si="30"/>
        <v>2400000</v>
      </c>
      <c r="H94" s="31"/>
      <c r="I94" s="31"/>
      <c r="J94" s="31"/>
      <c r="K94" s="31"/>
      <c r="L94" s="3"/>
      <c r="M94" s="30">
        <f>SUM(H94:L94)</f>
        <v>0</v>
      </c>
      <c r="N94" s="4">
        <f t="shared" si="31"/>
        <v>2400000</v>
      </c>
    </row>
    <row r="95" spans="2:14" x14ac:dyDescent="0.25">
      <c r="B95" s="21"/>
      <c r="C95" s="23"/>
      <c r="D95" s="23"/>
      <c r="E95" s="24"/>
      <c r="F95" s="19">
        <f>SUM(F85:F94)</f>
        <v>10800000</v>
      </c>
      <c r="G95" s="36">
        <f>SUM(G85:G94)</f>
        <v>12960000</v>
      </c>
      <c r="H95" s="33"/>
      <c r="I95" s="33">
        <f>SUM(I85:I94)</f>
        <v>500000</v>
      </c>
      <c r="J95" s="33">
        <f>SUM(J85:J94)</f>
        <v>480000</v>
      </c>
      <c r="K95" s="33"/>
      <c r="L95" s="19"/>
      <c r="M95" s="43"/>
      <c r="N95" s="20">
        <f t="shared" si="31"/>
        <v>12960000</v>
      </c>
    </row>
  </sheetData>
  <mergeCells count="40">
    <mergeCell ref="N83:N84"/>
    <mergeCell ref="B83:B84"/>
    <mergeCell ref="E83:E84"/>
    <mergeCell ref="F83:F84"/>
    <mergeCell ref="G83:G84"/>
    <mergeCell ref="M83:M84"/>
    <mergeCell ref="I3:N3"/>
    <mergeCell ref="I4:N5"/>
    <mergeCell ref="N8:N9"/>
    <mergeCell ref="B8:B9"/>
    <mergeCell ref="E8:E9"/>
    <mergeCell ref="F8:F9"/>
    <mergeCell ref="G8:G9"/>
    <mergeCell ref="M8:M9"/>
    <mergeCell ref="B3:E5"/>
    <mergeCell ref="F3:H5"/>
    <mergeCell ref="N22:N23"/>
    <mergeCell ref="B22:B23"/>
    <mergeCell ref="E22:E23"/>
    <mergeCell ref="F22:F23"/>
    <mergeCell ref="G22:G23"/>
    <mergeCell ref="M22:M23"/>
    <mergeCell ref="N32:N33"/>
    <mergeCell ref="B51:B52"/>
    <mergeCell ref="E51:E52"/>
    <mergeCell ref="F51:F52"/>
    <mergeCell ref="G51:G52"/>
    <mergeCell ref="M51:M52"/>
    <mergeCell ref="N51:N52"/>
    <mergeCell ref="B32:B33"/>
    <mergeCell ref="E32:E33"/>
    <mergeCell ref="F32:F33"/>
    <mergeCell ref="G32:G33"/>
    <mergeCell ref="M32:M33"/>
    <mergeCell ref="N64:N65"/>
    <mergeCell ref="B64:B65"/>
    <mergeCell ref="E64:E65"/>
    <mergeCell ref="F64:F65"/>
    <mergeCell ref="G64:G65"/>
    <mergeCell ref="M64:M65"/>
  </mergeCells>
  <pageMargins left="0.7" right="0.7" top="0.75" bottom="0.75" header="0.3" footer="0.3"/>
  <pageSetup paperSize="9" orientation="portrait" horizontalDpi="4294967292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2"/>
  <sheetViews>
    <sheetView topLeftCell="A110" zoomScaleNormal="100" workbookViewId="0">
      <selection activeCell="F126" sqref="F126"/>
    </sheetView>
  </sheetViews>
  <sheetFormatPr defaultRowHeight="15" x14ac:dyDescent="0.25"/>
  <cols>
    <col min="2" max="2" width="10.7109375" customWidth="1"/>
    <col min="3" max="3" width="6.28515625" customWidth="1"/>
    <col min="4" max="4" width="4.7109375" customWidth="1"/>
    <col min="5" max="5" width="16.85546875" customWidth="1"/>
    <col min="6" max="7" width="12.5703125" customWidth="1"/>
    <col min="8" max="12" width="11.42578125" customWidth="1"/>
    <col min="13" max="13" width="11.85546875" customWidth="1"/>
    <col min="14" max="14" width="12.28515625" customWidth="1"/>
    <col min="17" max="17" width="10.5703125" bestFit="1" customWidth="1"/>
  </cols>
  <sheetData>
    <row r="1" spans="2:14" ht="15.75" thickBot="1" x14ac:dyDescent="0.3"/>
    <row r="2" spans="2:14" ht="21.75" thickBot="1" x14ac:dyDescent="0.3">
      <c r="B2" s="71" t="s">
        <v>11</v>
      </c>
      <c r="C2" s="72"/>
      <c r="D2" s="72"/>
      <c r="E2" s="73"/>
      <c r="F2" s="80" t="s">
        <v>9</v>
      </c>
      <c r="G2" s="72"/>
      <c r="H2" s="72"/>
      <c r="I2" s="83" t="s">
        <v>18</v>
      </c>
      <c r="J2" s="84"/>
      <c r="K2" s="84"/>
      <c r="L2" s="84"/>
      <c r="M2" s="84"/>
      <c r="N2" s="85"/>
    </row>
    <row r="3" spans="2:14" x14ac:dyDescent="0.25">
      <c r="B3" s="74"/>
      <c r="C3" s="75"/>
      <c r="D3" s="75"/>
      <c r="E3" s="76"/>
      <c r="F3" s="81"/>
      <c r="G3" s="75"/>
      <c r="H3" s="75"/>
      <c r="I3" s="74" t="s">
        <v>10</v>
      </c>
      <c r="J3" s="75"/>
      <c r="K3" s="75"/>
      <c r="L3" s="75"/>
      <c r="M3" s="75"/>
      <c r="N3" s="86"/>
    </row>
    <row r="4" spans="2:14" ht="15.75" thickBot="1" x14ac:dyDescent="0.3">
      <c r="B4" s="77"/>
      <c r="C4" s="78"/>
      <c r="D4" s="78"/>
      <c r="E4" s="79"/>
      <c r="F4" s="82"/>
      <c r="G4" s="78"/>
      <c r="H4" s="78"/>
      <c r="I4" s="77"/>
      <c r="J4" s="78"/>
      <c r="K4" s="78"/>
      <c r="L4" s="78"/>
      <c r="M4" s="78"/>
      <c r="N4" s="87"/>
    </row>
    <row r="5" spans="2:14" x14ac:dyDescent="0.25">
      <c r="F5" s="15"/>
    </row>
    <row r="6" spans="2:14" ht="20.25" customHeight="1" thickBot="1" x14ac:dyDescent="0.3">
      <c r="E6" s="12" t="s">
        <v>20</v>
      </c>
    </row>
    <row r="7" spans="2:14" ht="16.5" customHeight="1" x14ac:dyDescent="0.25">
      <c r="B7" s="65" t="s">
        <v>0</v>
      </c>
      <c r="C7" s="6" t="s">
        <v>1</v>
      </c>
      <c r="D7" s="6"/>
      <c r="E7" s="67" t="s">
        <v>4</v>
      </c>
      <c r="F7" s="67" t="s">
        <v>5</v>
      </c>
      <c r="G7" s="69" t="s">
        <v>6</v>
      </c>
      <c r="H7" s="6"/>
      <c r="I7" s="6"/>
      <c r="J7" s="6"/>
      <c r="K7" s="6"/>
      <c r="L7" s="6"/>
      <c r="M7" s="67" t="s">
        <v>7</v>
      </c>
      <c r="N7" s="63" t="s">
        <v>8</v>
      </c>
    </row>
    <row r="8" spans="2:14" ht="15" customHeight="1" thickBot="1" x14ac:dyDescent="0.3">
      <c r="B8" s="66"/>
      <c r="C8" s="5" t="s">
        <v>2</v>
      </c>
      <c r="D8" s="5" t="s">
        <v>3</v>
      </c>
      <c r="E8" s="68"/>
      <c r="F8" s="68"/>
      <c r="G8" s="70"/>
      <c r="H8" s="5">
        <v>7</v>
      </c>
      <c r="I8" s="5">
        <v>15</v>
      </c>
      <c r="J8" s="5">
        <v>21</v>
      </c>
      <c r="K8" s="5">
        <v>28</v>
      </c>
      <c r="L8" s="5"/>
      <c r="M8" s="68"/>
      <c r="N8" s="64"/>
    </row>
    <row r="9" spans="2:14" ht="15" customHeight="1" x14ac:dyDescent="0.25">
      <c r="B9" s="10">
        <v>44994</v>
      </c>
      <c r="C9" s="14">
        <v>830</v>
      </c>
      <c r="D9" s="14" t="s">
        <v>15</v>
      </c>
      <c r="E9" s="1" t="s">
        <v>27</v>
      </c>
      <c r="F9" s="3">
        <v>5000000</v>
      </c>
      <c r="G9" s="17">
        <v>5300000</v>
      </c>
      <c r="H9" s="3"/>
      <c r="I9" s="3"/>
      <c r="J9" s="3">
        <v>50000</v>
      </c>
      <c r="K9" s="3"/>
      <c r="L9" s="3"/>
      <c r="M9" s="3">
        <f t="shared" ref="M9" si="0">SUM(H9:L9)</f>
        <v>50000</v>
      </c>
      <c r="N9" s="4">
        <f t="shared" ref="N9" si="1">G9-M9</f>
        <v>5250000</v>
      </c>
    </row>
    <row r="10" spans="2:14" x14ac:dyDescent="0.25">
      <c r="B10" s="10"/>
      <c r="C10" s="13">
        <v>770</v>
      </c>
      <c r="D10" s="14" t="s">
        <v>15</v>
      </c>
      <c r="E10" s="1" t="s">
        <v>173</v>
      </c>
      <c r="F10" s="3">
        <v>3000000</v>
      </c>
      <c r="G10" s="29">
        <v>3400000</v>
      </c>
      <c r="H10" s="3"/>
      <c r="I10" s="3"/>
      <c r="J10" s="3"/>
      <c r="K10" s="3"/>
      <c r="L10" s="3"/>
      <c r="M10" s="30">
        <f t="shared" ref="M10" si="2">SUM(H10:L10)</f>
        <v>0</v>
      </c>
      <c r="N10" s="4">
        <f t="shared" ref="N10:N11" si="3">G10-M10</f>
        <v>3400000</v>
      </c>
    </row>
    <row r="11" spans="2:14" x14ac:dyDescent="0.25">
      <c r="B11" s="21"/>
      <c r="C11" s="23"/>
      <c r="D11" s="23"/>
      <c r="E11" s="24"/>
      <c r="F11" s="19">
        <f>SUM(F9:F10)</f>
        <v>8000000</v>
      </c>
      <c r="G11" s="25">
        <f>SUM(G9:G10)</f>
        <v>8700000</v>
      </c>
      <c r="H11" s="19">
        <f>SUM(H10:H10)</f>
        <v>0</v>
      </c>
      <c r="I11" s="19">
        <f>SUM(I9:I10)</f>
        <v>0</v>
      </c>
      <c r="J11" s="19">
        <f>SUM(J9:J10)</f>
        <v>50000</v>
      </c>
      <c r="K11" s="19">
        <f>SUM(K10:K10)</f>
        <v>0</v>
      </c>
      <c r="L11" s="19">
        <f>SUM(L10:L10)</f>
        <v>0</v>
      </c>
      <c r="M11" s="19">
        <f>SUM(M10:M10)</f>
        <v>0</v>
      </c>
      <c r="N11" s="20">
        <f t="shared" si="3"/>
        <v>8700000</v>
      </c>
    </row>
    <row r="12" spans="2:14" ht="15.75" customHeight="1" thickBot="1" x14ac:dyDescent="0.3">
      <c r="E12" s="12" t="s">
        <v>17</v>
      </c>
    </row>
    <row r="13" spans="2:14" ht="15" customHeight="1" x14ac:dyDescent="0.25">
      <c r="B13" s="65" t="s">
        <v>0</v>
      </c>
      <c r="C13" s="6" t="s">
        <v>1</v>
      </c>
      <c r="D13" s="6"/>
      <c r="E13" s="67" t="s">
        <v>4</v>
      </c>
      <c r="F13" s="67" t="s">
        <v>5</v>
      </c>
      <c r="G13" s="69" t="s">
        <v>6</v>
      </c>
      <c r="H13" s="6"/>
      <c r="I13" s="6"/>
      <c r="J13" s="6"/>
      <c r="K13" s="6"/>
      <c r="L13" s="6"/>
      <c r="M13" s="67" t="s">
        <v>7</v>
      </c>
      <c r="N13" s="63" t="s">
        <v>8</v>
      </c>
    </row>
    <row r="14" spans="2:14" ht="15" customHeight="1" thickBot="1" x14ac:dyDescent="0.3">
      <c r="B14" s="66"/>
      <c r="C14" s="5" t="s">
        <v>2</v>
      </c>
      <c r="D14" s="5" t="s">
        <v>3</v>
      </c>
      <c r="E14" s="68"/>
      <c r="F14" s="68"/>
      <c r="G14" s="70"/>
      <c r="H14" s="5">
        <v>7</v>
      </c>
      <c r="I14" s="5">
        <v>15</v>
      </c>
      <c r="J14" s="5">
        <v>21</v>
      </c>
      <c r="K14" s="5">
        <v>28</v>
      </c>
      <c r="L14" s="5"/>
      <c r="M14" s="68"/>
      <c r="N14" s="64"/>
    </row>
    <row r="15" spans="2:14" ht="15" customHeight="1" x14ac:dyDescent="0.25">
      <c r="B15" s="54"/>
      <c r="C15" s="55">
        <v>554</v>
      </c>
      <c r="D15" s="56" t="s">
        <v>15</v>
      </c>
      <c r="E15" s="57" t="s">
        <v>192</v>
      </c>
      <c r="F15" s="58">
        <v>2000000</v>
      </c>
      <c r="G15" s="51">
        <v>1450000</v>
      </c>
      <c r="H15" s="61">
        <v>100000</v>
      </c>
      <c r="I15" s="58">
        <v>1350000</v>
      </c>
      <c r="J15" s="58"/>
      <c r="K15" s="58"/>
      <c r="L15" s="58"/>
      <c r="M15" s="60">
        <f t="shared" ref="M15" si="4">SUM(H15:L15)</f>
        <v>1450000</v>
      </c>
      <c r="N15" s="60">
        <f t="shared" ref="N15:N28" si="5">G15-M15</f>
        <v>0</v>
      </c>
    </row>
    <row r="16" spans="2:14" ht="15" customHeight="1" x14ac:dyDescent="0.25">
      <c r="B16" s="54"/>
      <c r="C16" s="55">
        <v>1029</v>
      </c>
      <c r="D16" s="56" t="s">
        <v>15</v>
      </c>
      <c r="E16" s="57" t="s">
        <v>193</v>
      </c>
      <c r="F16" s="58">
        <v>2000000</v>
      </c>
      <c r="G16" s="51">
        <v>1250000</v>
      </c>
      <c r="H16" s="61">
        <v>1250000</v>
      </c>
      <c r="I16" s="58"/>
      <c r="J16" s="58"/>
      <c r="K16" s="58"/>
      <c r="L16" s="58"/>
      <c r="M16" s="58">
        <f>SUM(H16:L16)</f>
        <v>1250000</v>
      </c>
      <c r="N16" s="60">
        <f t="shared" si="5"/>
        <v>0</v>
      </c>
    </row>
    <row r="17" spans="2:14" ht="15" customHeight="1" x14ac:dyDescent="0.25">
      <c r="B17" s="54">
        <v>46037</v>
      </c>
      <c r="C17" s="56">
        <v>854</v>
      </c>
      <c r="D17" s="56" t="s">
        <v>15</v>
      </c>
      <c r="E17" s="57" t="s">
        <v>149</v>
      </c>
      <c r="F17" s="58">
        <v>1000000</v>
      </c>
      <c r="G17" s="51">
        <v>680000</v>
      </c>
      <c r="H17" s="61">
        <v>680000</v>
      </c>
      <c r="I17" s="58"/>
      <c r="J17" s="58"/>
      <c r="K17" s="58"/>
      <c r="L17" s="58"/>
      <c r="M17" s="59">
        <f>SUM(H17:L17)</f>
        <v>680000</v>
      </c>
      <c r="N17" s="60">
        <f t="shared" si="5"/>
        <v>0</v>
      </c>
    </row>
    <row r="18" spans="2:14" x14ac:dyDescent="0.25">
      <c r="B18" s="54"/>
      <c r="C18" s="56">
        <v>307</v>
      </c>
      <c r="D18" s="56" t="s">
        <v>15</v>
      </c>
      <c r="E18" s="57" t="s">
        <v>110</v>
      </c>
      <c r="F18" s="58">
        <v>1500000</v>
      </c>
      <c r="G18" s="51">
        <v>1350000</v>
      </c>
      <c r="H18" s="61">
        <v>50000</v>
      </c>
      <c r="I18" s="58">
        <v>50000</v>
      </c>
      <c r="J18" s="58">
        <v>1250000</v>
      </c>
      <c r="K18" s="58"/>
      <c r="L18" s="58"/>
      <c r="M18" s="59">
        <f>SUM(H18:L18)</f>
        <v>1350000</v>
      </c>
      <c r="N18" s="60">
        <f t="shared" si="5"/>
        <v>0</v>
      </c>
    </row>
    <row r="19" spans="2:14" x14ac:dyDescent="0.25">
      <c r="B19" s="54"/>
      <c r="C19" s="56">
        <v>984</v>
      </c>
      <c r="D19" s="56" t="s">
        <v>16</v>
      </c>
      <c r="E19" s="57" t="s">
        <v>197</v>
      </c>
      <c r="F19" s="58">
        <v>1500000</v>
      </c>
      <c r="G19" s="51">
        <v>1350000</v>
      </c>
      <c r="H19" s="61"/>
      <c r="I19" s="58"/>
      <c r="J19" s="58">
        <v>1350000</v>
      </c>
      <c r="K19" s="58"/>
      <c r="L19" s="58"/>
      <c r="M19" s="59">
        <f t="shared" ref="M19" si="6">SUM(H19:L19)</f>
        <v>1350000</v>
      </c>
      <c r="N19" s="60">
        <f t="shared" si="5"/>
        <v>0</v>
      </c>
    </row>
    <row r="20" spans="2:14" x14ac:dyDescent="0.25">
      <c r="B20" s="54">
        <v>46044</v>
      </c>
      <c r="C20" s="56">
        <v>33</v>
      </c>
      <c r="D20" s="56" t="s">
        <v>15</v>
      </c>
      <c r="E20" s="57" t="s">
        <v>158</v>
      </c>
      <c r="F20" s="58">
        <v>1500000</v>
      </c>
      <c r="G20" s="51">
        <v>1350000</v>
      </c>
      <c r="H20" s="61">
        <v>50000</v>
      </c>
      <c r="I20" s="58">
        <v>1300000</v>
      </c>
      <c r="J20" s="58"/>
      <c r="K20" s="58"/>
      <c r="L20" s="58"/>
      <c r="M20" s="59">
        <f>SUM(H20:L20)</f>
        <v>1350000</v>
      </c>
      <c r="N20" s="60">
        <f t="shared" si="5"/>
        <v>0</v>
      </c>
    </row>
    <row r="21" spans="2:14" x14ac:dyDescent="0.25">
      <c r="B21" s="10"/>
      <c r="C21" s="14">
        <v>1014</v>
      </c>
      <c r="D21" s="14" t="s">
        <v>16</v>
      </c>
      <c r="E21" s="1" t="s">
        <v>196</v>
      </c>
      <c r="F21" s="3">
        <v>1500000</v>
      </c>
      <c r="G21" s="29">
        <v>1550000</v>
      </c>
      <c r="H21" s="31"/>
      <c r="I21" s="3"/>
      <c r="J21" s="3">
        <v>50000</v>
      </c>
      <c r="K21" s="3">
        <v>50000</v>
      </c>
      <c r="L21" s="3"/>
      <c r="M21" s="30">
        <f>SUM(H21:L21)</f>
        <v>100000</v>
      </c>
      <c r="N21" s="4">
        <f t="shared" si="5"/>
        <v>1450000</v>
      </c>
    </row>
    <row r="22" spans="2:14" x14ac:dyDescent="0.25">
      <c r="B22" s="54">
        <v>46051</v>
      </c>
      <c r="C22" s="56">
        <v>1090</v>
      </c>
      <c r="D22" s="56" t="s">
        <v>15</v>
      </c>
      <c r="E22" s="57" t="s">
        <v>156</v>
      </c>
      <c r="F22" s="58">
        <v>700000</v>
      </c>
      <c r="G22" s="51">
        <v>340000</v>
      </c>
      <c r="H22" s="61">
        <v>340000</v>
      </c>
      <c r="I22" s="58"/>
      <c r="J22" s="58"/>
      <c r="K22" s="58"/>
      <c r="L22" s="58"/>
      <c r="M22" s="59">
        <f t="shared" ref="M22:M27" si="7">SUM(H22:L22)</f>
        <v>340000</v>
      </c>
      <c r="N22" s="60">
        <f t="shared" si="5"/>
        <v>0</v>
      </c>
    </row>
    <row r="23" spans="2:14" ht="15" customHeight="1" x14ac:dyDescent="0.25">
      <c r="B23" s="10"/>
      <c r="C23" s="14">
        <v>70</v>
      </c>
      <c r="D23" s="14" t="s">
        <v>15</v>
      </c>
      <c r="E23" s="1" t="s">
        <v>152</v>
      </c>
      <c r="F23" s="3">
        <v>1200000</v>
      </c>
      <c r="G23" s="29">
        <v>1140000</v>
      </c>
      <c r="H23" s="31">
        <v>50000</v>
      </c>
      <c r="I23" s="3">
        <v>50000</v>
      </c>
      <c r="J23" s="3">
        <v>50000</v>
      </c>
      <c r="K23" s="3">
        <v>990000</v>
      </c>
      <c r="L23" s="3"/>
      <c r="M23" s="30">
        <f t="shared" si="7"/>
        <v>1140000</v>
      </c>
      <c r="N23" s="4">
        <f t="shared" si="5"/>
        <v>0</v>
      </c>
    </row>
    <row r="24" spans="2:14" ht="15" customHeight="1" x14ac:dyDescent="0.25">
      <c r="B24" s="54"/>
      <c r="C24" s="56">
        <v>17</v>
      </c>
      <c r="D24" s="56" t="s">
        <v>15</v>
      </c>
      <c r="E24" s="57" t="s">
        <v>150</v>
      </c>
      <c r="F24" s="58">
        <v>1500000</v>
      </c>
      <c r="G24" s="51">
        <v>1000000</v>
      </c>
      <c r="H24" s="61">
        <v>1000000</v>
      </c>
      <c r="I24" s="58"/>
      <c r="J24" s="58"/>
      <c r="K24" s="58"/>
      <c r="L24" s="58"/>
      <c r="M24" s="59">
        <f t="shared" si="7"/>
        <v>1000000</v>
      </c>
      <c r="N24" s="60">
        <f t="shared" si="5"/>
        <v>0</v>
      </c>
    </row>
    <row r="25" spans="2:14" ht="15" customHeight="1" x14ac:dyDescent="0.25">
      <c r="B25" s="54"/>
      <c r="C25" s="56">
        <v>392</v>
      </c>
      <c r="D25" s="56" t="s">
        <v>16</v>
      </c>
      <c r="E25" s="57" t="s">
        <v>205</v>
      </c>
      <c r="F25" s="58">
        <v>1500000</v>
      </c>
      <c r="G25" s="51">
        <v>1350000</v>
      </c>
      <c r="H25" s="61">
        <v>50000</v>
      </c>
      <c r="I25" s="58">
        <v>50000</v>
      </c>
      <c r="J25" s="58">
        <v>1250000</v>
      </c>
      <c r="K25" s="58"/>
      <c r="L25" s="58"/>
      <c r="M25" s="59">
        <f t="shared" si="7"/>
        <v>1350000</v>
      </c>
      <c r="N25" s="60">
        <f t="shared" si="5"/>
        <v>0</v>
      </c>
    </row>
    <row r="26" spans="2:14" ht="15" customHeight="1" x14ac:dyDescent="0.25">
      <c r="B26" s="10"/>
      <c r="C26" s="14">
        <v>415</v>
      </c>
      <c r="D26" s="14" t="s">
        <v>16</v>
      </c>
      <c r="E26" s="1" t="s">
        <v>206</v>
      </c>
      <c r="F26" s="3">
        <v>2000000</v>
      </c>
      <c r="G26" s="29">
        <v>1900000</v>
      </c>
      <c r="H26" s="31">
        <v>50000</v>
      </c>
      <c r="I26" s="3">
        <v>50000</v>
      </c>
      <c r="J26" s="3">
        <v>50000</v>
      </c>
      <c r="K26" s="3">
        <v>1750000</v>
      </c>
      <c r="L26" s="3"/>
      <c r="M26" s="30">
        <f t="shared" si="7"/>
        <v>1900000</v>
      </c>
      <c r="N26" s="4">
        <f t="shared" si="5"/>
        <v>0</v>
      </c>
    </row>
    <row r="27" spans="2:14" ht="15.75" customHeight="1" x14ac:dyDescent="0.25">
      <c r="B27" s="1"/>
      <c r="C27" s="14">
        <v>378</v>
      </c>
      <c r="D27" s="14" t="s">
        <v>15</v>
      </c>
      <c r="E27" s="1" t="s">
        <v>157</v>
      </c>
      <c r="F27" s="3">
        <v>2000000</v>
      </c>
      <c r="G27" s="29">
        <v>2050000</v>
      </c>
      <c r="H27" s="31">
        <v>50000</v>
      </c>
      <c r="I27" s="1">
        <v>50000</v>
      </c>
      <c r="J27" s="1">
        <v>50000</v>
      </c>
      <c r="K27" s="1">
        <v>1900000</v>
      </c>
      <c r="L27" s="1"/>
      <c r="M27" s="30">
        <f t="shared" si="7"/>
        <v>2050000</v>
      </c>
      <c r="N27" s="4">
        <f t="shared" si="5"/>
        <v>0</v>
      </c>
    </row>
    <row r="28" spans="2:14" ht="15.75" customHeight="1" x14ac:dyDescent="0.25">
      <c r="B28" s="24"/>
      <c r="C28" s="24"/>
      <c r="D28" s="24"/>
      <c r="E28" s="24"/>
      <c r="F28" s="20">
        <f t="shared" ref="F28:M28" si="8">SUM(F15:F27)</f>
        <v>19900000</v>
      </c>
      <c r="G28" s="20">
        <f t="shared" si="8"/>
        <v>16760000</v>
      </c>
      <c r="H28" s="33">
        <f t="shared" si="8"/>
        <v>3670000</v>
      </c>
      <c r="I28" s="33">
        <f t="shared" si="8"/>
        <v>2900000</v>
      </c>
      <c r="J28" s="33">
        <f t="shared" si="8"/>
        <v>4050000</v>
      </c>
      <c r="K28" s="33">
        <f t="shared" si="8"/>
        <v>4690000</v>
      </c>
      <c r="L28" s="33">
        <f t="shared" si="8"/>
        <v>0</v>
      </c>
      <c r="M28" s="33">
        <f t="shared" si="8"/>
        <v>15310000</v>
      </c>
      <c r="N28" s="33">
        <f t="shared" si="5"/>
        <v>1450000</v>
      </c>
    </row>
    <row r="29" spans="2:14" ht="15" customHeight="1" thickBot="1" x14ac:dyDescent="0.3"/>
    <row r="30" spans="2:14" ht="15" customHeight="1" x14ac:dyDescent="0.25">
      <c r="B30" s="65" t="s">
        <v>0</v>
      </c>
      <c r="C30" s="6" t="s">
        <v>1</v>
      </c>
      <c r="D30" s="6"/>
      <c r="E30" s="67" t="s">
        <v>4</v>
      </c>
      <c r="F30" s="67" t="s">
        <v>5</v>
      </c>
      <c r="G30" s="69" t="s">
        <v>6</v>
      </c>
      <c r="H30" s="6"/>
      <c r="I30" s="6"/>
      <c r="J30" s="6"/>
      <c r="K30" s="6"/>
      <c r="L30" s="6"/>
      <c r="M30" s="67" t="s">
        <v>7</v>
      </c>
      <c r="N30" s="63" t="s">
        <v>8</v>
      </c>
    </row>
    <row r="31" spans="2:14" ht="15" customHeight="1" thickBot="1" x14ac:dyDescent="0.3">
      <c r="B31" s="66"/>
      <c r="C31" s="5" t="s">
        <v>2</v>
      </c>
      <c r="D31" s="5" t="s">
        <v>3</v>
      </c>
      <c r="E31" s="68"/>
      <c r="F31" s="68"/>
      <c r="G31" s="70"/>
      <c r="H31" s="5">
        <v>7</v>
      </c>
      <c r="I31" s="5">
        <v>15</v>
      </c>
      <c r="J31" s="5">
        <v>32</v>
      </c>
      <c r="K31" s="5">
        <v>28</v>
      </c>
      <c r="L31" s="5"/>
      <c r="M31" s="68"/>
      <c r="N31" s="64"/>
    </row>
    <row r="32" spans="2:14" ht="15" customHeight="1" x14ac:dyDescent="0.25">
      <c r="B32" s="26">
        <v>46058</v>
      </c>
      <c r="C32" s="13">
        <v>156</v>
      </c>
      <c r="D32" s="14" t="s">
        <v>15</v>
      </c>
      <c r="E32" s="1" t="s">
        <v>137</v>
      </c>
      <c r="F32" s="3">
        <v>1000000</v>
      </c>
      <c r="G32" s="29">
        <v>900000</v>
      </c>
      <c r="H32" s="27">
        <v>50000</v>
      </c>
      <c r="I32" s="27"/>
      <c r="J32" s="27">
        <v>50000</v>
      </c>
      <c r="K32" s="27">
        <v>50000</v>
      </c>
      <c r="L32" s="27"/>
      <c r="M32" s="28">
        <f t="shared" ref="M32:M34" si="9">SUM(H32:L32)</f>
        <v>150000</v>
      </c>
      <c r="N32" s="28">
        <f>G32-M32</f>
        <v>750000</v>
      </c>
    </row>
    <row r="33" spans="2:14" ht="15" customHeight="1" x14ac:dyDescent="0.25">
      <c r="B33" s="10"/>
      <c r="C33" s="13">
        <v>579</v>
      </c>
      <c r="D33" s="14" t="s">
        <v>15</v>
      </c>
      <c r="E33" s="1" t="s">
        <v>93</v>
      </c>
      <c r="F33" s="3">
        <v>1000000</v>
      </c>
      <c r="G33" s="29">
        <v>900000</v>
      </c>
      <c r="H33" s="3">
        <v>50000</v>
      </c>
      <c r="I33" s="3"/>
      <c r="J33" s="3">
        <v>50000</v>
      </c>
      <c r="K33" s="3">
        <v>50000</v>
      </c>
      <c r="L33" s="3"/>
      <c r="M33" s="30">
        <f t="shared" si="9"/>
        <v>150000</v>
      </c>
      <c r="N33" s="4">
        <f t="shared" ref="N33:N51" si="10">G33-M33</f>
        <v>750000</v>
      </c>
    </row>
    <row r="34" spans="2:14" ht="15" customHeight="1" x14ac:dyDescent="0.25">
      <c r="B34" s="10">
        <v>46065</v>
      </c>
      <c r="C34" s="14">
        <v>422</v>
      </c>
      <c r="D34" s="14" t="s">
        <v>15</v>
      </c>
      <c r="E34" s="1" t="s">
        <v>216</v>
      </c>
      <c r="F34" s="3">
        <v>500000</v>
      </c>
      <c r="G34" s="29">
        <v>450000</v>
      </c>
      <c r="H34" s="3"/>
      <c r="I34" s="3"/>
      <c r="J34" s="3">
        <v>50000</v>
      </c>
      <c r="K34" s="3">
        <v>50000</v>
      </c>
      <c r="L34" s="3"/>
      <c r="M34" s="4">
        <f t="shared" si="9"/>
        <v>100000</v>
      </c>
      <c r="N34" s="4">
        <f t="shared" si="10"/>
        <v>350000</v>
      </c>
    </row>
    <row r="35" spans="2:14" ht="15" customHeight="1" x14ac:dyDescent="0.25">
      <c r="B35" s="10"/>
      <c r="C35" s="14">
        <v>384</v>
      </c>
      <c r="D35" s="14" t="s">
        <v>15</v>
      </c>
      <c r="E35" s="1" t="s">
        <v>107</v>
      </c>
      <c r="F35" s="3">
        <v>1000000</v>
      </c>
      <c r="G35" s="29">
        <v>950000</v>
      </c>
      <c r="H35" s="3">
        <v>50000</v>
      </c>
      <c r="I35" s="3">
        <v>50000</v>
      </c>
      <c r="J35" s="3">
        <v>50000</v>
      </c>
      <c r="K35" s="3">
        <v>50000</v>
      </c>
      <c r="L35" s="3"/>
      <c r="M35" s="3">
        <f>SUM(H35:L35)</f>
        <v>200000</v>
      </c>
      <c r="N35" s="4">
        <f t="shared" si="10"/>
        <v>750000</v>
      </c>
    </row>
    <row r="36" spans="2:14" ht="15" customHeight="1" x14ac:dyDescent="0.25">
      <c r="B36" s="10"/>
      <c r="C36" s="14">
        <v>390</v>
      </c>
      <c r="D36" s="14" t="s">
        <v>15</v>
      </c>
      <c r="E36" s="1" t="s">
        <v>217</v>
      </c>
      <c r="F36" s="3">
        <v>1000000</v>
      </c>
      <c r="G36" s="29">
        <v>950000</v>
      </c>
      <c r="H36" s="3">
        <v>50000</v>
      </c>
      <c r="I36" s="3">
        <v>50000</v>
      </c>
      <c r="J36" s="3">
        <v>50000</v>
      </c>
      <c r="K36" s="3">
        <v>50000</v>
      </c>
      <c r="L36" s="3"/>
      <c r="M36" s="4">
        <f>SUM(H36:L36)</f>
        <v>200000</v>
      </c>
      <c r="N36" s="4">
        <f t="shared" si="10"/>
        <v>750000</v>
      </c>
    </row>
    <row r="37" spans="2:14" x14ac:dyDescent="0.25">
      <c r="B37" s="10"/>
      <c r="C37" s="14">
        <v>385</v>
      </c>
      <c r="D37" s="14" t="s">
        <v>15</v>
      </c>
      <c r="E37" s="1" t="s">
        <v>108</v>
      </c>
      <c r="F37" s="3">
        <v>1500000</v>
      </c>
      <c r="G37" s="29">
        <v>1500000</v>
      </c>
      <c r="H37" s="3">
        <v>50000</v>
      </c>
      <c r="I37" s="3">
        <v>50000</v>
      </c>
      <c r="J37" s="3">
        <v>50000</v>
      </c>
      <c r="K37" s="3"/>
      <c r="L37" s="3"/>
      <c r="M37" s="30">
        <f>SUM(H37:L37)</f>
        <v>150000</v>
      </c>
      <c r="N37" s="4">
        <f t="shared" si="10"/>
        <v>1350000</v>
      </c>
    </row>
    <row r="38" spans="2:14" ht="15" customHeight="1" x14ac:dyDescent="0.25">
      <c r="B38" s="10"/>
      <c r="C38" s="14">
        <v>29</v>
      </c>
      <c r="D38" s="14" t="s">
        <v>15</v>
      </c>
      <c r="E38" s="1" t="s">
        <v>74</v>
      </c>
      <c r="F38" s="3">
        <v>1500000</v>
      </c>
      <c r="G38" s="29">
        <v>1500000</v>
      </c>
      <c r="H38" s="3">
        <v>50000</v>
      </c>
      <c r="I38" s="3"/>
      <c r="J38" s="3">
        <v>50000</v>
      </c>
      <c r="K38" s="3">
        <v>50000</v>
      </c>
      <c r="L38" s="3"/>
      <c r="M38" s="30">
        <f>SUM(H38:L38)</f>
        <v>150000</v>
      </c>
      <c r="N38" s="4">
        <f t="shared" si="10"/>
        <v>1350000</v>
      </c>
    </row>
    <row r="39" spans="2:14" ht="15" customHeight="1" x14ac:dyDescent="0.25">
      <c r="B39" s="10">
        <v>46072</v>
      </c>
      <c r="C39" s="14">
        <v>1165</v>
      </c>
      <c r="D39" s="14" t="s">
        <v>15</v>
      </c>
      <c r="E39" s="1" t="s">
        <v>223</v>
      </c>
      <c r="F39" s="3">
        <v>1000000</v>
      </c>
      <c r="G39" s="29">
        <v>900000</v>
      </c>
      <c r="H39" s="3"/>
      <c r="I39" s="3">
        <v>50000</v>
      </c>
      <c r="J39" s="3">
        <v>50000</v>
      </c>
      <c r="K39" s="3">
        <v>50000</v>
      </c>
      <c r="L39" s="3"/>
      <c r="M39" s="30">
        <f t="shared" ref="M39" si="11">SUM(H39:L39)</f>
        <v>150000</v>
      </c>
      <c r="N39" s="4">
        <f t="shared" si="10"/>
        <v>750000</v>
      </c>
    </row>
    <row r="40" spans="2:14" ht="15" customHeight="1" x14ac:dyDescent="0.25">
      <c r="B40" s="10"/>
      <c r="C40" s="14">
        <v>297</v>
      </c>
      <c r="D40" s="14" t="s">
        <v>15</v>
      </c>
      <c r="E40" s="1" t="s">
        <v>224</v>
      </c>
      <c r="F40" s="3">
        <v>1200000</v>
      </c>
      <c r="G40" s="29">
        <v>1240000</v>
      </c>
      <c r="H40" s="3">
        <v>50000</v>
      </c>
      <c r="I40" s="3">
        <v>50000</v>
      </c>
      <c r="J40" s="3">
        <v>50000</v>
      </c>
      <c r="K40" s="3">
        <v>50000</v>
      </c>
      <c r="L40" s="3"/>
      <c r="M40" s="30">
        <f>SUM(H40:L40)</f>
        <v>200000</v>
      </c>
      <c r="N40" s="4">
        <f t="shared" si="10"/>
        <v>1040000</v>
      </c>
    </row>
    <row r="41" spans="2:14" ht="15" customHeight="1" x14ac:dyDescent="0.25">
      <c r="B41" s="10"/>
      <c r="C41" s="14">
        <v>992</v>
      </c>
      <c r="D41" s="14" t="s">
        <v>15</v>
      </c>
      <c r="E41" s="1" t="s">
        <v>128</v>
      </c>
      <c r="F41" s="3">
        <v>1200000</v>
      </c>
      <c r="G41" s="29">
        <v>1240000</v>
      </c>
      <c r="H41" s="3"/>
      <c r="I41" s="3"/>
      <c r="J41" s="3">
        <v>50000</v>
      </c>
      <c r="K41" s="3">
        <v>50000</v>
      </c>
      <c r="L41" s="3"/>
      <c r="M41" s="30">
        <f>SUM(J41:L41)</f>
        <v>100000</v>
      </c>
      <c r="N41" s="4">
        <f t="shared" si="10"/>
        <v>1140000</v>
      </c>
    </row>
    <row r="42" spans="2:14" x14ac:dyDescent="0.25">
      <c r="B42" s="10"/>
      <c r="C42" s="14">
        <v>320</v>
      </c>
      <c r="D42" s="14" t="s">
        <v>15</v>
      </c>
      <c r="E42" s="1" t="s">
        <v>159</v>
      </c>
      <c r="F42" s="3">
        <v>1500000</v>
      </c>
      <c r="G42" s="29">
        <v>1550000</v>
      </c>
      <c r="H42" s="3">
        <v>50000</v>
      </c>
      <c r="I42" s="3">
        <v>50000</v>
      </c>
      <c r="J42" s="3">
        <v>50000</v>
      </c>
      <c r="K42" s="3">
        <v>50000</v>
      </c>
      <c r="L42" s="3"/>
      <c r="M42" s="30">
        <f t="shared" ref="M42:M50" si="12">SUM(H42:L42)</f>
        <v>200000</v>
      </c>
      <c r="N42" s="4">
        <f t="shared" si="10"/>
        <v>1350000</v>
      </c>
    </row>
    <row r="43" spans="2:14" ht="15" customHeight="1" x14ac:dyDescent="0.25">
      <c r="B43" s="10"/>
      <c r="C43" s="14">
        <v>85</v>
      </c>
      <c r="D43" s="14" t="s">
        <v>15</v>
      </c>
      <c r="E43" s="1" t="s">
        <v>129</v>
      </c>
      <c r="F43" s="3">
        <v>1500000</v>
      </c>
      <c r="G43" s="29">
        <v>1500000</v>
      </c>
      <c r="H43" s="3">
        <v>50000</v>
      </c>
      <c r="I43" s="3">
        <v>50000</v>
      </c>
      <c r="J43" s="3">
        <v>50000</v>
      </c>
      <c r="K43" s="3"/>
      <c r="L43" s="3"/>
      <c r="M43" s="30">
        <f t="shared" si="12"/>
        <v>150000</v>
      </c>
      <c r="N43" s="4">
        <f t="shared" si="10"/>
        <v>1350000</v>
      </c>
    </row>
    <row r="44" spans="2:14" x14ac:dyDescent="0.25">
      <c r="B44" s="10"/>
      <c r="C44" s="13">
        <v>1027</v>
      </c>
      <c r="D44" s="14" t="s">
        <v>15</v>
      </c>
      <c r="E44" s="1" t="s">
        <v>225</v>
      </c>
      <c r="F44" s="3">
        <v>1500000</v>
      </c>
      <c r="G44" s="29">
        <v>1550000</v>
      </c>
      <c r="H44" s="3"/>
      <c r="I44" s="3"/>
      <c r="J44" s="3">
        <v>50000</v>
      </c>
      <c r="K44" s="3"/>
      <c r="L44" s="3"/>
      <c r="M44" s="30">
        <f t="shared" si="12"/>
        <v>50000</v>
      </c>
      <c r="N44" s="4">
        <f t="shared" si="10"/>
        <v>1500000</v>
      </c>
    </row>
    <row r="45" spans="2:14" ht="15" customHeight="1" x14ac:dyDescent="0.25">
      <c r="B45" s="10">
        <v>46079</v>
      </c>
      <c r="C45" s="14">
        <v>109</v>
      </c>
      <c r="D45" s="14" t="s">
        <v>15</v>
      </c>
      <c r="E45" s="1" t="s">
        <v>136</v>
      </c>
      <c r="F45" s="3">
        <v>500000</v>
      </c>
      <c r="G45" s="29">
        <v>450000</v>
      </c>
      <c r="H45" s="3">
        <v>25000</v>
      </c>
      <c r="I45" s="3">
        <v>25000</v>
      </c>
      <c r="J45" s="3">
        <v>50000</v>
      </c>
      <c r="K45" s="3">
        <v>350000</v>
      </c>
      <c r="L45" s="3"/>
      <c r="M45" s="30">
        <f t="shared" si="12"/>
        <v>450000</v>
      </c>
      <c r="N45" s="4">
        <f t="shared" si="10"/>
        <v>0</v>
      </c>
    </row>
    <row r="46" spans="2:14" x14ac:dyDescent="0.25">
      <c r="B46" s="10"/>
      <c r="C46" s="14">
        <v>174</v>
      </c>
      <c r="D46" s="14" t="s">
        <v>15</v>
      </c>
      <c r="E46" s="1" t="s">
        <v>141</v>
      </c>
      <c r="F46" s="3">
        <v>1000000</v>
      </c>
      <c r="G46" s="29">
        <v>950000</v>
      </c>
      <c r="H46" s="3"/>
      <c r="I46" s="3">
        <v>50000</v>
      </c>
      <c r="J46" s="3">
        <v>50000</v>
      </c>
      <c r="K46" s="3">
        <v>50000</v>
      </c>
      <c r="L46" s="3"/>
      <c r="M46" s="30">
        <f t="shared" si="12"/>
        <v>150000</v>
      </c>
      <c r="N46" s="4">
        <f t="shared" si="10"/>
        <v>800000</v>
      </c>
    </row>
    <row r="47" spans="2:14" ht="15" customHeight="1" x14ac:dyDescent="0.25">
      <c r="B47" s="10"/>
      <c r="C47" s="14">
        <v>871</v>
      </c>
      <c r="D47" s="14" t="s">
        <v>15</v>
      </c>
      <c r="E47" s="1" t="s">
        <v>142</v>
      </c>
      <c r="F47" s="3">
        <v>1000000</v>
      </c>
      <c r="G47" s="29">
        <v>950000</v>
      </c>
      <c r="H47" s="3">
        <v>50000</v>
      </c>
      <c r="I47" s="3"/>
      <c r="J47" s="3">
        <v>50000</v>
      </c>
      <c r="K47" s="3">
        <v>50000</v>
      </c>
      <c r="L47" s="3"/>
      <c r="M47" s="30">
        <f t="shared" si="12"/>
        <v>150000</v>
      </c>
      <c r="N47" s="4">
        <f t="shared" si="10"/>
        <v>800000</v>
      </c>
    </row>
    <row r="48" spans="2:14" ht="15" customHeight="1" x14ac:dyDescent="0.25">
      <c r="B48" s="10"/>
      <c r="C48" s="14">
        <v>429</v>
      </c>
      <c r="D48" s="14" t="s">
        <v>15</v>
      </c>
      <c r="E48" s="1" t="s">
        <v>109</v>
      </c>
      <c r="F48" s="3">
        <v>1000000</v>
      </c>
      <c r="G48" s="29">
        <v>950000</v>
      </c>
      <c r="H48" s="3"/>
      <c r="I48" s="3">
        <v>50000</v>
      </c>
      <c r="J48" s="3">
        <v>50000</v>
      </c>
      <c r="K48" s="3">
        <v>50000</v>
      </c>
      <c r="L48" s="3"/>
      <c r="M48" s="30">
        <f t="shared" si="12"/>
        <v>150000</v>
      </c>
      <c r="N48" s="4">
        <f t="shared" si="10"/>
        <v>800000</v>
      </c>
    </row>
    <row r="49" spans="2:14" ht="15" customHeight="1" x14ac:dyDescent="0.25">
      <c r="B49" s="10"/>
      <c r="C49" s="14">
        <v>1051</v>
      </c>
      <c r="D49" s="14" t="s">
        <v>15</v>
      </c>
      <c r="E49" s="1" t="s">
        <v>138</v>
      </c>
      <c r="F49" s="3">
        <v>1500000</v>
      </c>
      <c r="G49" s="29">
        <v>1600000</v>
      </c>
      <c r="H49" s="3">
        <v>50000</v>
      </c>
      <c r="I49" s="3">
        <v>50000</v>
      </c>
      <c r="J49" s="3"/>
      <c r="K49" s="3">
        <v>50000</v>
      </c>
      <c r="L49" s="3"/>
      <c r="M49" s="30">
        <f t="shared" si="12"/>
        <v>150000</v>
      </c>
      <c r="N49" s="4">
        <f t="shared" si="10"/>
        <v>1450000</v>
      </c>
    </row>
    <row r="50" spans="2:14" x14ac:dyDescent="0.25">
      <c r="B50" s="10"/>
      <c r="C50" s="14">
        <v>34</v>
      </c>
      <c r="D50" s="14" t="s">
        <v>15</v>
      </c>
      <c r="E50" s="1" t="s">
        <v>229</v>
      </c>
      <c r="F50" s="3">
        <v>3000000</v>
      </c>
      <c r="G50" s="29">
        <v>2475000</v>
      </c>
      <c r="H50" s="3">
        <v>225000</v>
      </c>
      <c r="I50" s="3">
        <v>225000</v>
      </c>
      <c r="J50" s="3">
        <v>150000</v>
      </c>
      <c r="K50" s="3">
        <v>225000</v>
      </c>
      <c r="L50" s="3"/>
      <c r="M50" s="30">
        <f t="shared" si="12"/>
        <v>825000</v>
      </c>
      <c r="N50" s="4">
        <f t="shared" si="10"/>
        <v>1650000</v>
      </c>
    </row>
    <row r="51" spans="2:14" ht="15" customHeight="1" x14ac:dyDescent="0.25">
      <c r="B51" s="21"/>
      <c r="C51" s="23"/>
      <c r="D51" s="23"/>
      <c r="E51" s="24"/>
      <c r="F51" s="19">
        <f>SUM(F32:F50)</f>
        <v>23400000</v>
      </c>
      <c r="G51" s="25">
        <f>SUM(G32:G50)</f>
        <v>22505000</v>
      </c>
      <c r="H51" s="19">
        <f>SUM(H32:H50)</f>
        <v>800000</v>
      </c>
      <c r="I51" s="19">
        <f t="shared" ref="I51:M51" si="13">SUM(I32:I50)</f>
        <v>750000</v>
      </c>
      <c r="J51" s="19">
        <f t="shared" si="13"/>
        <v>1000000</v>
      </c>
      <c r="K51" s="19">
        <f t="shared" si="13"/>
        <v>1275000</v>
      </c>
      <c r="L51" s="19">
        <f t="shared" si="13"/>
        <v>0</v>
      </c>
      <c r="M51" s="19">
        <f t="shared" si="13"/>
        <v>3825000</v>
      </c>
      <c r="N51" s="20">
        <f t="shared" si="10"/>
        <v>18680000</v>
      </c>
    </row>
    <row r="52" spans="2:14" ht="15" customHeight="1" thickBot="1" x14ac:dyDescent="0.3"/>
    <row r="53" spans="2:14" ht="15" customHeight="1" x14ac:dyDescent="0.25">
      <c r="B53" s="65" t="s">
        <v>0</v>
      </c>
      <c r="C53" s="6" t="s">
        <v>1</v>
      </c>
      <c r="D53" s="6"/>
      <c r="E53" s="67" t="s">
        <v>4</v>
      </c>
      <c r="F53" s="67" t="s">
        <v>5</v>
      </c>
      <c r="G53" s="69" t="s">
        <v>6</v>
      </c>
      <c r="H53" s="6"/>
      <c r="I53" s="6"/>
      <c r="J53" s="6"/>
      <c r="K53" s="6"/>
      <c r="L53" s="6"/>
      <c r="M53" s="67" t="s">
        <v>7</v>
      </c>
      <c r="N53" s="63" t="s">
        <v>8</v>
      </c>
    </row>
    <row r="54" spans="2:14" ht="15" customHeight="1" thickBot="1" x14ac:dyDescent="0.3">
      <c r="B54" s="66"/>
      <c r="C54" s="5" t="s">
        <v>2</v>
      </c>
      <c r="D54" s="5" t="s">
        <v>3</v>
      </c>
      <c r="E54" s="68"/>
      <c r="F54" s="68"/>
      <c r="G54" s="70"/>
      <c r="H54" s="5">
        <v>7</v>
      </c>
      <c r="I54" s="5">
        <v>15</v>
      </c>
      <c r="J54" s="5">
        <v>21</v>
      </c>
      <c r="K54" s="5">
        <v>28</v>
      </c>
      <c r="L54" s="5"/>
      <c r="M54" s="68"/>
      <c r="N54" s="64"/>
    </row>
    <row r="55" spans="2:14" x14ac:dyDescent="0.25">
      <c r="B55" s="54">
        <v>46086</v>
      </c>
      <c r="C55" s="55">
        <v>507</v>
      </c>
      <c r="D55" s="56" t="s">
        <v>15</v>
      </c>
      <c r="E55" s="57" t="s">
        <v>168</v>
      </c>
      <c r="F55" s="58">
        <v>500000</v>
      </c>
      <c r="G55" s="62">
        <v>300000</v>
      </c>
      <c r="H55" s="61">
        <v>50000</v>
      </c>
      <c r="I55" s="61">
        <v>250000</v>
      </c>
      <c r="J55" s="61"/>
      <c r="K55" s="61"/>
      <c r="L55" s="58"/>
      <c r="M55" s="60">
        <f t="shared" ref="M55:M57" si="14">SUM(H55:L55)</f>
        <v>300000</v>
      </c>
      <c r="N55" s="60">
        <f>G55-M55</f>
        <v>0</v>
      </c>
    </row>
    <row r="56" spans="2:14" ht="15" customHeight="1" x14ac:dyDescent="0.25">
      <c r="B56" s="10"/>
      <c r="C56" s="13">
        <v>971</v>
      </c>
      <c r="D56" s="14" t="s">
        <v>15</v>
      </c>
      <c r="E56" s="1" t="s">
        <v>248</v>
      </c>
      <c r="F56" s="3">
        <v>800000</v>
      </c>
      <c r="G56" s="35">
        <v>710000</v>
      </c>
      <c r="H56" s="31"/>
      <c r="I56" s="31">
        <v>50000</v>
      </c>
      <c r="J56" s="31">
        <v>50000</v>
      </c>
      <c r="K56" s="31">
        <v>50000</v>
      </c>
      <c r="L56" s="3"/>
      <c r="M56" s="30">
        <f t="shared" si="14"/>
        <v>150000</v>
      </c>
      <c r="N56" s="4">
        <f t="shared" ref="N56:N70" si="15">G56-M56</f>
        <v>560000</v>
      </c>
    </row>
    <row r="57" spans="2:14" ht="15" customHeight="1" x14ac:dyDescent="0.25">
      <c r="B57" s="10"/>
      <c r="C57" s="13">
        <v>453</v>
      </c>
      <c r="D57" s="14" t="s">
        <v>15</v>
      </c>
      <c r="E57" s="1" t="s">
        <v>28</v>
      </c>
      <c r="F57" s="3">
        <v>1000000</v>
      </c>
      <c r="G57" s="35">
        <v>950000</v>
      </c>
      <c r="H57" s="31">
        <v>50000</v>
      </c>
      <c r="I57" s="31"/>
      <c r="J57" s="31">
        <v>50000</v>
      </c>
      <c r="K57" s="31">
        <v>50000</v>
      </c>
      <c r="L57" s="3"/>
      <c r="M57" s="4">
        <f t="shared" si="14"/>
        <v>150000</v>
      </c>
      <c r="N57" s="4">
        <f t="shared" si="15"/>
        <v>800000</v>
      </c>
    </row>
    <row r="58" spans="2:14" ht="15" customHeight="1" x14ac:dyDescent="0.25">
      <c r="B58" s="10"/>
      <c r="C58" s="13">
        <v>1017</v>
      </c>
      <c r="D58" s="14" t="s">
        <v>15</v>
      </c>
      <c r="E58" s="1" t="s">
        <v>249</v>
      </c>
      <c r="F58" s="3">
        <v>1000000</v>
      </c>
      <c r="G58" s="35">
        <v>1000000</v>
      </c>
      <c r="H58" s="31">
        <v>50000</v>
      </c>
      <c r="I58" s="31"/>
      <c r="J58" s="31">
        <v>50000</v>
      </c>
      <c r="K58" s="31"/>
      <c r="L58" s="3"/>
      <c r="M58" s="3">
        <f>SUM(H58:L58)</f>
        <v>100000</v>
      </c>
      <c r="N58" s="4">
        <f t="shared" si="15"/>
        <v>900000</v>
      </c>
    </row>
    <row r="59" spans="2:14" ht="15" customHeight="1" x14ac:dyDescent="0.25">
      <c r="B59" s="10"/>
      <c r="C59" s="13">
        <v>814</v>
      </c>
      <c r="D59" s="14" t="s">
        <v>15</v>
      </c>
      <c r="E59" s="1" t="s">
        <v>165</v>
      </c>
      <c r="F59" s="3">
        <v>1200000</v>
      </c>
      <c r="G59" s="35">
        <v>1240000</v>
      </c>
      <c r="H59" s="31">
        <v>50000</v>
      </c>
      <c r="I59" s="31">
        <v>50000</v>
      </c>
      <c r="J59" s="31"/>
      <c r="K59" s="31">
        <v>50000</v>
      </c>
      <c r="L59" s="3"/>
      <c r="M59" s="4">
        <f>SUM(H59:L59)</f>
        <v>150000</v>
      </c>
      <c r="N59" s="4">
        <f t="shared" si="15"/>
        <v>1090000</v>
      </c>
    </row>
    <row r="60" spans="2:14" ht="15" customHeight="1" x14ac:dyDescent="0.25">
      <c r="B60" s="10"/>
      <c r="C60" s="13">
        <v>784</v>
      </c>
      <c r="D60" s="14" t="s">
        <v>15</v>
      </c>
      <c r="E60" s="1" t="s">
        <v>250</v>
      </c>
      <c r="F60" s="3">
        <v>1500000</v>
      </c>
      <c r="G60" s="35">
        <v>1125000</v>
      </c>
      <c r="H60" s="31"/>
      <c r="I60" s="31">
        <v>225000</v>
      </c>
      <c r="J60" s="31"/>
      <c r="K60" s="31">
        <v>225000</v>
      </c>
      <c r="L60" s="3"/>
      <c r="M60" s="30">
        <f>SUM(H60:L60)</f>
        <v>450000</v>
      </c>
      <c r="N60" s="4">
        <f t="shared" si="15"/>
        <v>675000</v>
      </c>
    </row>
    <row r="61" spans="2:14" x14ac:dyDescent="0.25">
      <c r="B61" s="10"/>
      <c r="C61" s="13">
        <v>440</v>
      </c>
      <c r="D61" s="14" t="s">
        <v>15</v>
      </c>
      <c r="E61" s="1" t="s">
        <v>166</v>
      </c>
      <c r="F61" s="3">
        <v>2000000</v>
      </c>
      <c r="G61" s="35">
        <v>2150000</v>
      </c>
      <c r="H61" s="31">
        <v>50000</v>
      </c>
      <c r="I61" s="31"/>
      <c r="J61" s="31">
        <v>50000</v>
      </c>
      <c r="K61" s="31">
        <v>50000</v>
      </c>
      <c r="L61" s="3"/>
      <c r="M61" s="30">
        <f>SUM(H61:L61)</f>
        <v>150000</v>
      </c>
      <c r="N61" s="4">
        <f t="shared" si="15"/>
        <v>2000000</v>
      </c>
    </row>
    <row r="62" spans="2:14" ht="15" customHeight="1" x14ac:dyDescent="0.25">
      <c r="B62" s="10"/>
      <c r="C62" s="13">
        <v>106</v>
      </c>
      <c r="D62" s="14" t="s">
        <v>16</v>
      </c>
      <c r="E62" s="1" t="s">
        <v>251</v>
      </c>
      <c r="F62" s="3">
        <v>2000000</v>
      </c>
      <c r="G62" s="35">
        <v>2100000</v>
      </c>
      <c r="H62" s="31"/>
      <c r="I62" s="31">
        <v>50000</v>
      </c>
      <c r="J62" s="31">
        <v>50000</v>
      </c>
      <c r="K62" s="31">
        <v>50000</v>
      </c>
      <c r="L62" s="3"/>
      <c r="M62" s="30">
        <f t="shared" ref="M62" si="16">SUM(H62:L62)</f>
        <v>150000</v>
      </c>
      <c r="N62" s="4">
        <f t="shared" si="15"/>
        <v>1950000</v>
      </c>
    </row>
    <row r="63" spans="2:14" x14ac:dyDescent="0.25">
      <c r="B63" s="10">
        <v>46093</v>
      </c>
      <c r="C63" s="14">
        <v>584</v>
      </c>
      <c r="D63" s="14" t="s">
        <v>15</v>
      </c>
      <c r="E63" s="1" t="s">
        <v>263</v>
      </c>
      <c r="F63" s="3">
        <v>1000000</v>
      </c>
      <c r="G63" s="35">
        <v>1000000</v>
      </c>
      <c r="H63" s="31">
        <v>50000</v>
      </c>
      <c r="I63" s="31">
        <v>50000</v>
      </c>
      <c r="J63" s="31"/>
      <c r="K63" s="31">
        <v>50000</v>
      </c>
      <c r="L63" s="3"/>
      <c r="M63" s="30">
        <f t="shared" ref="M63:M69" si="17">SUM(H63:L63)</f>
        <v>150000</v>
      </c>
      <c r="N63" s="4">
        <f t="shared" si="15"/>
        <v>850000</v>
      </c>
    </row>
    <row r="64" spans="2:14" ht="15" customHeight="1" x14ac:dyDescent="0.25">
      <c r="B64" s="10"/>
      <c r="C64" s="14">
        <v>454</v>
      </c>
      <c r="D64" s="14" t="s">
        <v>15</v>
      </c>
      <c r="E64" s="1" t="s">
        <v>71</v>
      </c>
      <c r="F64" s="3">
        <v>1300000</v>
      </c>
      <c r="G64" s="35">
        <v>1410000</v>
      </c>
      <c r="H64" s="31">
        <v>50000</v>
      </c>
      <c r="I64" s="31">
        <v>50000</v>
      </c>
      <c r="J64" s="31">
        <v>50000</v>
      </c>
      <c r="K64" s="31"/>
      <c r="L64" s="3"/>
      <c r="M64" s="30">
        <f t="shared" si="17"/>
        <v>150000</v>
      </c>
      <c r="N64" s="4">
        <f t="shared" si="15"/>
        <v>1260000</v>
      </c>
    </row>
    <row r="65" spans="2:14" x14ac:dyDescent="0.25">
      <c r="B65" s="10"/>
      <c r="C65" s="14">
        <v>956</v>
      </c>
      <c r="D65" s="14" t="s">
        <v>15</v>
      </c>
      <c r="E65" s="1" t="s">
        <v>172</v>
      </c>
      <c r="F65" s="3">
        <v>1300000</v>
      </c>
      <c r="G65" s="35">
        <v>1410000</v>
      </c>
      <c r="H65" s="31">
        <v>50000</v>
      </c>
      <c r="I65" s="31">
        <v>50000</v>
      </c>
      <c r="J65" s="31"/>
      <c r="K65" s="31">
        <v>50000</v>
      </c>
      <c r="L65" s="3"/>
      <c r="M65" s="30">
        <f t="shared" si="17"/>
        <v>150000</v>
      </c>
      <c r="N65" s="4">
        <f t="shared" si="15"/>
        <v>1260000</v>
      </c>
    </row>
    <row r="66" spans="2:14" ht="15" customHeight="1" x14ac:dyDescent="0.25">
      <c r="B66" s="10"/>
      <c r="C66" s="14">
        <v>180</v>
      </c>
      <c r="D66" s="14" t="s">
        <v>15</v>
      </c>
      <c r="E66" s="1" t="s">
        <v>148</v>
      </c>
      <c r="F66" s="3">
        <v>1300000</v>
      </c>
      <c r="G66" s="35">
        <v>1310000</v>
      </c>
      <c r="H66" s="31"/>
      <c r="I66" s="31">
        <v>50000</v>
      </c>
      <c r="J66" s="31"/>
      <c r="K66" s="31">
        <v>50000</v>
      </c>
      <c r="L66" s="3"/>
      <c r="M66" s="30">
        <f t="shared" si="17"/>
        <v>100000</v>
      </c>
      <c r="N66" s="4">
        <f t="shared" si="15"/>
        <v>1210000</v>
      </c>
    </row>
    <row r="67" spans="2:14" x14ac:dyDescent="0.25">
      <c r="B67" s="10"/>
      <c r="C67" s="14">
        <v>667</v>
      </c>
      <c r="D67" s="14" t="s">
        <v>15</v>
      </c>
      <c r="E67" s="1" t="s">
        <v>147</v>
      </c>
      <c r="F67" s="3">
        <v>2000000</v>
      </c>
      <c r="G67" s="35">
        <v>2150000</v>
      </c>
      <c r="H67" s="31">
        <v>50000</v>
      </c>
      <c r="I67" s="31">
        <v>50000</v>
      </c>
      <c r="J67" s="31">
        <v>50000</v>
      </c>
      <c r="K67" s="31">
        <v>50000</v>
      </c>
      <c r="L67" s="3"/>
      <c r="M67" s="30">
        <f t="shared" si="17"/>
        <v>200000</v>
      </c>
      <c r="N67" s="4">
        <f t="shared" si="15"/>
        <v>1950000</v>
      </c>
    </row>
    <row r="68" spans="2:14" x14ac:dyDescent="0.25">
      <c r="B68" s="10"/>
      <c r="C68" s="14">
        <v>1227</v>
      </c>
      <c r="D68" s="14" t="s">
        <v>15</v>
      </c>
      <c r="E68" s="1" t="s">
        <v>264</v>
      </c>
      <c r="F68" s="3">
        <v>2000000</v>
      </c>
      <c r="G68" s="35">
        <v>2150000</v>
      </c>
      <c r="H68" s="31"/>
      <c r="I68" s="31">
        <v>50000</v>
      </c>
      <c r="J68" s="31">
        <v>50000</v>
      </c>
      <c r="K68" s="31"/>
      <c r="L68" s="3"/>
      <c r="M68" s="30">
        <f t="shared" si="17"/>
        <v>100000</v>
      </c>
      <c r="N68" s="4">
        <f t="shared" si="15"/>
        <v>2050000</v>
      </c>
    </row>
    <row r="69" spans="2:14" ht="15" customHeight="1" x14ac:dyDescent="0.25">
      <c r="B69" s="10"/>
      <c r="C69" s="14">
        <v>928</v>
      </c>
      <c r="D69" s="14" t="s">
        <v>15</v>
      </c>
      <c r="E69" s="1" t="s">
        <v>145</v>
      </c>
      <c r="F69" s="3">
        <v>2000000</v>
      </c>
      <c r="G69" s="35">
        <v>2150000</v>
      </c>
      <c r="H69" s="31">
        <v>50000</v>
      </c>
      <c r="I69" s="31">
        <v>50000</v>
      </c>
      <c r="J69" s="31">
        <v>50000</v>
      </c>
      <c r="K69" s="31">
        <v>50000</v>
      </c>
      <c r="L69" s="3"/>
      <c r="M69" s="30">
        <f t="shared" si="17"/>
        <v>200000</v>
      </c>
      <c r="N69" s="4">
        <f t="shared" si="15"/>
        <v>1950000</v>
      </c>
    </row>
    <row r="70" spans="2:14" x14ac:dyDescent="0.25">
      <c r="B70" s="24"/>
      <c r="C70" s="22"/>
      <c r="D70" s="23"/>
      <c r="E70" s="24"/>
      <c r="F70" s="33">
        <f t="shared" ref="F70:H70" si="18">SUM(F55:F69)</f>
        <v>20900000</v>
      </c>
      <c r="G70" s="36">
        <f t="shared" si="18"/>
        <v>21155000</v>
      </c>
      <c r="H70" s="33">
        <f t="shared" si="18"/>
        <v>500000</v>
      </c>
      <c r="I70" s="33">
        <f t="shared" ref="I70" si="19">SUM(I55:I69)</f>
        <v>975000</v>
      </c>
      <c r="J70" s="33">
        <f t="shared" ref="J70" si="20">SUM(J55:J69)</f>
        <v>450000</v>
      </c>
      <c r="K70" s="33">
        <f t="shared" ref="K70" si="21">SUM(K55:K69)</f>
        <v>725000</v>
      </c>
      <c r="L70" s="33">
        <f t="shared" ref="L70" si="22">SUM(L55:L69)</f>
        <v>0</v>
      </c>
      <c r="M70" s="33">
        <f t="shared" ref="M70" si="23">SUM(M55:M69)</f>
        <v>2650000</v>
      </c>
      <c r="N70" s="20">
        <f t="shared" si="15"/>
        <v>18505000</v>
      </c>
    </row>
    <row r="71" spans="2:14" ht="15.75" thickBot="1" x14ac:dyDescent="0.3"/>
    <row r="72" spans="2:14" ht="15" customHeight="1" x14ac:dyDescent="0.25">
      <c r="B72" s="65" t="s">
        <v>0</v>
      </c>
      <c r="C72" s="6" t="s">
        <v>1</v>
      </c>
      <c r="D72" s="6"/>
      <c r="E72" s="67" t="s">
        <v>4</v>
      </c>
      <c r="F72" s="67" t="s">
        <v>5</v>
      </c>
      <c r="G72" s="69" t="s">
        <v>6</v>
      </c>
      <c r="H72" s="6"/>
      <c r="I72" s="6"/>
      <c r="J72" s="6"/>
      <c r="K72" s="6"/>
      <c r="L72" s="6"/>
      <c r="M72" s="67" t="s">
        <v>7</v>
      </c>
      <c r="N72" s="63" t="s">
        <v>8</v>
      </c>
    </row>
    <row r="73" spans="2:14" ht="15" customHeight="1" thickBot="1" x14ac:dyDescent="0.3">
      <c r="B73" s="66"/>
      <c r="C73" s="5" t="s">
        <v>2</v>
      </c>
      <c r="D73" s="5" t="s">
        <v>3</v>
      </c>
      <c r="E73" s="68"/>
      <c r="F73" s="68"/>
      <c r="G73" s="70"/>
      <c r="H73" s="5">
        <v>7</v>
      </c>
      <c r="I73" s="5">
        <v>15</v>
      </c>
      <c r="J73" s="5">
        <v>21</v>
      </c>
      <c r="K73" s="5">
        <v>28</v>
      </c>
      <c r="L73" s="5"/>
      <c r="M73" s="68"/>
      <c r="N73" s="64"/>
    </row>
    <row r="74" spans="2:14" ht="15" customHeight="1" x14ac:dyDescent="0.25">
      <c r="B74" s="26">
        <v>46114</v>
      </c>
      <c r="C74" s="13">
        <v>170</v>
      </c>
      <c r="D74" s="14" t="s">
        <v>15</v>
      </c>
      <c r="E74" s="1" t="s">
        <v>65</v>
      </c>
      <c r="F74" s="3">
        <v>2000000</v>
      </c>
      <c r="G74" s="35">
        <v>1800000</v>
      </c>
      <c r="H74" s="34">
        <v>200000</v>
      </c>
      <c r="I74" s="34">
        <v>200000</v>
      </c>
      <c r="J74" s="34"/>
      <c r="K74" s="34">
        <v>100000</v>
      </c>
      <c r="L74" s="27"/>
      <c r="M74" s="28">
        <f t="shared" ref="M74:M76" si="24">SUM(H74:L74)</f>
        <v>500000</v>
      </c>
      <c r="N74" s="28">
        <f>G74-M74</f>
        <v>1300000</v>
      </c>
    </row>
    <row r="75" spans="2:14" ht="15" customHeight="1" x14ac:dyDescent="0.25">
      <c r="B75" s="10"/>
      <c r="C75" s="13">
        <v>458</v>
      </c>
      <c r="D75" s="14" t="s">
        <v>15</v>
      </c>
      <c r="E75" s="1" t="s">
        <v>266</v>
      </c>
      <c r="F75" s="3">
        <v>2000000</v>
      </c>
      <c r="G75" s="35">
        <v>2150000</v>
      </c>
      <c r="H75" s="31">
        <v>100000</v>
      </c>
      <c r="I75" s="31">
        <v>100000</v>
      </c>
      <c r="J75" s="31">
        <v>100000</v>
      </c>
      <c r="K75" s="31"/>
      <c r="L75" s="3"/>
      <c r="M75" s="30">
        <f t="shared" si="24"/>
        <v>300000</v>
      </c>
      <c r="N75" s="4">
        <f t="shared" ref="N75:N97" si="25">G75-M75</f>
        <v>1850000</v>
      </c>
    </row>
    <row r="76" spans="2:14" ht="15" customHeight="1" x14ac:dyDescent="0.25">
      <c r="B76" s="10"/>
      <c r="C76" s="13">
        <v>612</v>
      </c>
      <c r="D76" s="14"/>
      <c r="E76" s="1" t="s">
        <v>21</v>
      </c>
      <c r="F76" s="3">
        <v>2000000</v>
      </c>
      <c r="G76" s="35">
        <v>2100000</v>
      </c>
      <c r="H76" s="31">
        <v>100000</v>
      </c>
      <c r="I76" s="31"/>
      <c r="J76" s="31">
        <v>100000</v>
      </c>
      <c r="K76" s="31"/>
      <c r="L76" s="3"/>
      <c r="M76" s="4">
        <f t="shared" si="24"/>
        <v>200000</v>
      </c>
      <c r="N76" s="4">
        <f t="shared" si="25"/>
        <v>1900000</v>
      </c>
    </row>
    <row r="77" spans="2:14" ht="14.25" customHeight="1" x14ac:dyDescent="0.25">
      <c r="B77" s="10"/>
      <c r="C77" s="13">
        <v>35</v>
      </c>
      <c r="D77" s="14" t="s">
        <v>15</v>
      </c>
      <c r="E77" s="1" t="s">
        <v>267</v>
      </c>
      <c r="F77" s="3">
        <v>2000000</v>
      </c>
      <c r="G77" s="35">
        <v>1800000</v>
      </c>
      <c r="H77" s="31">
        <v>150000</v>
      </c>
      <c r="I77" s="31">
        <v>150000</v>
      </c>
      <c r="J77" s="31"/>
      <c r="K77" s="31">
        <v>150000</v>
      </c>
      <c r="L77" s="3"/>
      <c r="M77" s="3">
        <f>SUM(H77:L77)</f>
        <v>450000</v>
      </c>
      <c r="N77" s="4">
        <f t="shared" si="25"/>
        <v>1350000</v>
      </c>
    </row>
    <row r="78" spans="2:14" ht="15" customHeight="1" x14ac:dyDescent="0.25">
      <c r="B78" s="10">
        <v>46121</v>
      </c>
      <c r="C78" s="14">
        <v>1030</v>
      </c>
      <c r="D78" s="14" t="s">
        <v>15</v>
      </c>
      <c r="E78" s="1" t="s">
        <v>269</v>
      </c>
      <c r="F78" s="3">
        <v>800000</v>
      </c>
      <c r="G78" s="35">
        <v>810000</v>
      </c>
      <c r="H78" s="31"/>
      <c r="I78" s="31">
        <v>50000</v>
      </c>
      <c r="J78" s="31">
        <v>50000</v>
      </c>
      <c r="K78" s="31"/>
      <c r="L78" s="3"/>
      <c r="M78" s="4">
        <f>SUM(H78:L78)</f>
        <v>100000</v>
      </c>
      <c r="N78" s="4">
        <f t="shared" si="25"/>
        <v>710000</v>
      </c>
    </row>
    <row r="79" spans="2:14" ht="15" customHeight="1" x14ac:dyDescent="0.25">
      <c r="B79" s="10"/>
      <c r="C79" s="14">
        <v>530</v>
      </c>
      <c r="D79" s="14" t="s">
        <v>15</v>
      </c>
      <c r="E79" s="1" t="s">
        <v>270</v>
      </c>
      <c r="F79" s="3">
        <v>1000000</v>
      </c>
      <c r="G79" s="35">
        <v>1000000</v>
      </c>
      <c r="H79" s="31"/>
      <c r="I79" s="31">
        <v>50000</v>
      </c>
      <c r="J79" s="31">
        <v>100000</v>
      </c>
      <c r="K79" s="31">
        <v>100000</v>
      </c>
      <c r="L79" s="3"/>
      <c r="M79" s="30">
        <f>SUM(H79:L79)</f>
        <v>250000</v>
      </c>
      <c r="N79" s="4">
        <f t="shared" si="25"/>
        <v>750000</v>
      </c>
    </row>
    <row r="80" spans="2:14" ht="15" customHeight="1" x14ac:dyDescent="0.25">
      <c r="B80" s="10"/>
      <c r="C80" s="14">
        <v>408</v>
      </c>
      <c r="D80" s="14" t="s">
        <v>15</v>
      </c>
      <c r="E80" s="1" t="s">
        <v>28</v>
      </c>
      <c r="F80" s="3">
        <v>2000000</v>
      </c>
      <c r="G80" s="35">
        <v>2200000</v>
      </c>
      <c r="H80" s="31">
        <v>100000</v>
      </c>
      <c r="I80" s="31">
        <v>100000</v>
      </c>
      <c r="J80" s="31">
        <v>100000</v>
      </c>
      <c r="K80" s="31"/>
      <c r="L80" s="3"/>
      <c r="M80" s="30">
        <f>SUM(H80:L80)</f>
        <v>300000</v>
      </c>
      <c r="N80" s="4">
        <f t="shared" si="25"/>
        <v>1900000</v>
      </c>
    </row>
    <row r="81" spans="2:14" ht="15" customHeight="1" x14ac:dyDescent="0.25">
      <c r="B81" s="10"/>
      <c r="C81" s="14">
        <v>728</v>
      </c>
      <c r="D81" s="14" t="s">
        <v>15</v>
      </c>
      <c r="E81" s="1" t="s">
        <v>271</v>
      </c>
      <c r="F81" s="3">
        <v>2500000</v>
      </c>
      <c r="G81" s="35">
        <v>2600000</v>
      </c>
      <c r="H81" s="31"/>
      <c r="I81" s="31">
        <v>200000</v>
      </c>
      <c r="J81" s="31"/>
      <c r="K81" s="31">
        <v>100000</v>
      </c>
      <c r="L81" s="3"/>
      <c r="M81" s="30">
        <f t="shared" ref="M81" si="26">SUM(H81:L81)</f>
        <v>300000</v>
      </c>
      <c r="N81" s="4">
        <f t="shared" si="25"/>
        <v>2300000</v>
      </c>
    </row>
    <row r="82" spans="2:14" ht="15" customHeight="1" x14ac:dyDescent="0.25">
      <c r="B82" s="10">
        <v>46128</v>
      </c>
      <c r="C82" s="13">
        <v>678</v>
      </c>
      <c r="D82" s="14" t="s">
        <v>15</v>
      </c>
      <c r="E82" s="1" t="s">
        <v>188</v>
      </c>
      <c r="F82" s="31">
        <v>800000</v>
      </c>
      <c r="G82" s="35">
        <v>860000</v>
      </c>
      <c r="H82" s="31"/>
      <c r="I82" s="31">
        <v>50000</v>
      </c>
      <c r="J82" s="31">
        <v>50000</v>
      </c>
      <c r="K82" s="31"/>
      <c r="L82" s="3"/>
      <c r="M82" s="30">
        <f>SUM(J82:L82)</f>
        <v>50000</v>
      </c>
      <c r="N82" s="4">
        <f t="shared" si="25"/>
        <v>810000</v>
      </c>
    </row>
    <row r="83" spans="2:14" ht="15" customHeight="1" x14ac:dyDescent="0.25">
      <c r="B83" s="10"/>
      <c r="C83" s="13">
        <v>1064</v>
      </c>
      <c r="D83" s="14" t="s">
        <v>15</v>
      </c>
      <c r="E83" s="1" t="s">
        <v>186</v>
      </c>
      <c r="F83" s="31">
        <v>1000000</v>
      </c>
      <c r="G83" s="35">
        <v>1100000</v>
      </c>
      <c r="H83" s="31">
        <v>50000</v>
      </c>
      <c r="I83" s="31"/>
      <c r="J83" s="31">
        <v>50000</v>
      </c>
      <c r="K83" s="31"/>
      <c r="L83" s="3"/>
      <c r="M83" s="30">
        <f t="shared" ref="M83:M90" si="27">SUM(H83:L83)</f>
        <v>100000</v>
      </c>
      <c r="N83" s="4">
        <f t="shared" si="25"/>
        <v>1000000</v>
      </c>
    </row>
    <row r="84" spans="2:14" ht="15" customHeight="1" x14ac:dyDescent="0.25">
      <c r="B84" s="10"/>
      <c r="C84" s="13">
        <v>1171</v>
      </c>
      <c r="D84" s="14" t="s">
        <v>15</v>
      </c>
      <c r="E84" s="1" t="s">
        <v>92</v>
      </c>
      <c r="F84" s="31">
        <v>1000000</v>
      </c>
      <c r="G84" s="35">
        <v>1150000</v>
      </c>
      <c r="H84" s="31"/>
      <c r="I84" s="31"/>
      <c r="J84" s="31">
        <v>50000</v>
      </c>
      <c r="K84" s="31">
        <v>50000</v>
      </c>
      <c r="L84" s="3"/>
      <c r="M84" s="30">
        <f t="shared" si="27"/>
        <v>100000</v>
      </c>
      <c r="N84" s="4">
        <f t="shared" si="25"/>
        <v>1050000</v>
      </c>
    </row>
    <row r="85" spans="2:14" ht="15" customHeight="1" x14ac:dyDescent="0.25">
      <c r="B85" s="10"/>
      <c r="C85" s="13">
        <v>1207</v>
      </c>
      <c r="D85" s="14" t="s">
        <v>15</v>
      </c>
      <c r="E85" s="1" t="s">
        <v>280</v>
      </c>
      <c r="F85" s="31">
        <v>1300000</v>
      </c>
      <c r="G85" s="35">
        <v>1460000</v>
      </c>
      <c r="H85" s="31">
        <v>50000</v>
      </c>
      <c r="I85" s="31">
        <v>50000</v>
      </c>
      <c r="J85" s="31"/>
      <c r="K85" s="31">
        <v>50000</v>
      </c>
      <c r="L85" s="3"/>
      <c r="M85" s="30">
        <f t="shared" si="27"/>
        <v>150000</v>
      </c>
      <c r="N85" s="4">
        <f t="shared" si="25"/>
        <v>1310000</v>
      </c>
    </row>
    <row r="86" spans="2:14" x14ac:dyDescent="0.25">
      <c r="B86" s="10">
        <v>46135</v>
      </c>
      <c r="C86" s="14">
        <v>595</v>
      </c>
      <c r="D86" s="14" t="s">
        <v>15</v>
      </c>
      <c r="E86" s="1" t="s">
        <v>47</v>
      </c>
      <c r="F86" s="3">
        <v>1200000</v>
      </c>
      <c r="G86" s="35">
        <v>1390000</v>
      </c>
      <c r="H86" s="31"/>
      <c r="I86" s="31">
        <v>50000</v>
      </c>
      <c r="J86" s="31">
        <v>50000</v>
      </c>
      <c r="K86" s="31">
        <v>50000</v>
      </c>
      <c r="L86" s="3"/>
      <c r="M86" s="30">
        <f t="shared" si="27"/>
        <v>150000</v>
      </c>
      <c r="N86" s="4">
        <f t="shared" si="25"/>
        <v>1240000</v>
      </c>
    </row>
    <row r="87" spans="2:14" ht="15" customHeight="1" x14ac:dyDescent="0.25">
      <c r="B87" s="10"/>
      <c r="C87" s="14">
        <v>1191</v>
      </c>
      <c r="D87" s="14" t="s">
        <v>15</v>
      </c>
      <c r="E87" s="1" t="s">
        <v>146</v>
      </c>
      <c r="F87" s="3">
        <v>1500000</v>
      </c>
      <c r="G87" s="35">
        <v>1750000</v>
      </c>
      <c r="H87" s="31"/>
      <c r="I87" s="31">
        <v>50000</v>
      </c>
      <c r="J87" s="31"/>
      <c r="K87" s="31">
        <v>50000</v>
      </c>
      <c r="L87" s="3"/>
      <c r="M87" s="30">
        <f t="shared" si="27"/>
        <v>100000</v>
      </c>
      <c r="N87" s="4">
        <f t="shared" si="25"/>
        <v>1650000</v>
      </c>
    </row>
    <row r="88" spans="2:14" ht="15" customHeight="1" x14ac:dyDescent="0.25">
      <c r="B88" s="10"/>
      <c r="C88" s="14">
        <v>372</v>
      </c>
      <c r="D88" s="14" t="s">
        <v>15</v>
      </c>
      <c r="E88" s="1" t="s">
        <v>286</v>
      </c>
      <c r="F88" s="3">
        <v>1500000</v>
      </c>
      <c r="G88" s="35">
        <v>1700000</v>
      </c>
      <c r="H88" s="31">
        <v>150000</v>
      </c>
      <c r="I88" s="31">
        <v>100000</v>
      </c>
      <c r="J88" s="31">
        <v>150000</v>
      </c>
      <c r="K88" s="31">
        <v>100000</v>
      </c>
      <c r="L88" s="3"/>
      <c r="M88" s="30">
        <f t="shared" si="27"/>
        <v>500000</v>
      </c>
      <c r="N88" s="4">
        <f t="shared" si="25"/>
        <v>1200000</v>
      </c>
    </row>
    <row r="89" spans="2:14" x14ac:dyDescent="0.25">
      <c r="B89" s="10"/>
      <c r="C89" s="14">
        <v>439</v>
      </c>
      <c r="D89" s="14" t="s">
        <v>15</v>
      </c>
      <c r="E89" s="1" t="s">
        <v>287</v>
      </c>
      <c r="F89" s="3">
        <v>1500000</v>
      </c>
      <c r="G89" s="35">
        <v>1750000</v>
      </c>
      <c r="H89" s="31">
        <v>50000</v>
      </c>
      <c r="I89" s="31"/>
      <c r="J89" s="31">
        <v>50000</v>
      </c>
      <c r="K89" s="31"/>
      <c r="L89" s="3"/>
      <c r="M89" s="30">
        <f t="shared" si="27"/>
        <v>100000</v>
      </c>
      <c r="N89" s="4">
        <f t="shared" si="25"/>
        <v>1650000</v>
      </c>
    </row>
    <row r="90" spans="2:14" ht="15.75" customHeight="1" x14ac:dyDescent="0.25">
      <c r="B90" s="10"/>
      <c r="C90" s="14">
        <v>1192</v>
      </c>
      <c r="D90" s="14" t="s">
        <v>15</v>
      </c>
      <c r="E90" s="1" t="s">
        <v>106</v>
      </c>
      <c r="F90" s="3">
        <v>3000000</v>
      </c>
      <c r="G90" s="35">
        <v>3400000</v>
      </c>
      <c r="H90" s="31"/>
      <c r="I90" s="31">
        <v>225000</v>
      </c>
      <c r="J90" s="31">
        <v>225000</v>
      </c>
      <c r="K90" s="31">
        <v>225000</v>
      </c>
      <c r="L90" s="3"/>
      <c r="M90" s="30">
        <f t="shared" si="27"/>
        <v>675000</v>
      </c>
      <c r="N90" s="4">
        <f t="shared" si="25"/>
        <v>2725000</v>
      </c>
    </row>
    <row r="91" spans="2:14" ht="15" customHeight="1" x14ac:dyDescent="0.25">
      <c r="B91" s="10">
        <v>46142</v>
      </c>
      <c r="C91" s="13">
        <v>840</v>
      </c>
      <c r="D91" s="14" t="s">
        <v>15</v>
      </c>
      <c r="E91" s="1" t="s">
        <v>288</v>
      </c>
      <c r="F91" s="31">
        <v>1200000</v>
      </c>
      <c r="G91" s="35">
        <f t="shared" ref="G91:G97" si="28">F91*120%</f>
        <v>1440000</v>
      </c>
      <c r="H91" s="31">
        <v>50000</v>
      </c>
      <c r="I91" s="31"/>
      <c r="J91" s="31">
        <v>50000</v>
      </c>
      <c r="K91" s="31">
        <v>50000</v>
      </c>
      <c r="L91" s="3"/>
      <c r="M91" s="30">
        <f t="shared" ref="M91:M97" si="29">SUM(H91:L91)</f>
        <v>150000</v>
      </c>
      <c r="N91" s="4">
        <f t="shared" si="25"/>
        <v>1290000</v>
      </c>
    </row>
    <row r="92" spans="2:14" ht="15" customHeight="1" x14ac:dyDescent="0.25">
      <c r="B92" s="10"/>
      <c r="C92" s="13">
        <v>293</v>
      </c>
      <c r="D92" s="14" t="s">
        <v>15</v>
      </c>
      <c r="E92" s="1" t="s">
        <v>187</v>
      </c>
      <c r="F92" s="31">
        <v>1200000</v>
      </c>
      <c r="G92" s="35">
        <f t="shared" si="28"/>
        <v>1440000</v>
      </c>
      <c r="H92" s="31">
        <v>50000</v>
      </c>
      <c r="I92" s="31"/>
      <c r="J92" s="31">
        <v>50000</v>
      </c>
      <c r="K92" s="31">
        <v>50000</v>
      </c>
      <c r="L92" s="3"/>
      <c r="M92" s="30">
        <f t="shared" si="29"/>
        <v>150000</v>
      </c>
      <c r="N92" s="4">
        <f t="shared" si="25"/>
        <v>1290000</v>
      </c>
    </row>
    <row r="93" spans="2:14" ht="15" customHeight="1" x14ac:dyDescent="0.25">
      <c r="B93" s="10"/>
      <c r="C93" s="13">
        <v>846</v>
      </c>
      <c r="D93" s="14" t="s">
        <v>15</v>
      </c>
      <c r="E93" s="1" t="s">
        <v>289</v>
      </c>
      <c r="F93" s="31">
        <v>1200000</v>
      </c>
      <c r="G93" s="35">
        <f t="shared" si="28"/>
        <v>1440000</v>
      </c>
      <c r="H93" s="31">
        <v>50000</v>
      </c>
      <c r="I93" s="31"/>
      <c r="J93" s="31">
        <v>50000</v>
      </c>
      <c r="K93" s="31"/>
      <c r="L93" s="3"/>
      <c r="M93" s="30">
        <f t="shared" si="29"/>
        <v>100000</v>
      </c>
      <c r="N93" s="4">
        <f t="shared" si="25"/>
        <v>1340000</v>
      </c>
    </row>
    <row r="94" spans="2:14" x14ac:dyDescent="0.25">
      <c r="B94" s="1"/>
      <c r="C94" s="13">
        <v>610</v>
      </c>
      <c r="D94" s="14" t="s">
        <v>15</v>
      </c>
      <c r="E94" s="1" t="s">
        <v>290</v>
      </c>
      <c r="F94" s="31">
        <v>1500000</v>
      </c>
      <c r="G94" s="35">
        <f t="shared" si="28"/>
        <v>1800000</v>
      </c>
      <c r="H94" s="31">
        <v>50000</v>
      </c>
      <c r="I94" s="31"/>
      <c r="J94" s="31">
        <v>50000</v>
      </c>
      <c r="K94" s="31"/>
      <c r="L94" s="1"/>
      <c r="M94" s="30">
        <f t="shared" si="29"/>
        <v>100000</v>
      </c>
      <c r="N94" s="4">
        <f t="shared" si="25"/>
        <v>1700000</v>
      </c>
    </row>
    <row r="95" spans="2:14" x14ac:dyDescent="0.25">
      <c r="B95" s="10"/>
      <c r="C95" s="13">
        <v>1263</v>
      </c>
      <c r="D95" s="14" t="s">
        <v>15</v>
      </c>
      <c r="E95" s="1" t="s">
        <v>291</v>
      </c>
      <c r="F95" s="31">
        <v>1500000</v>
      </c>
      <c r="G95" s="35">
        <f t="shared" si="28"/>
        <v>1800000</v>
      </c>
      <c r="H95" s="31">
        <v>50000</v>
      </c>
      <c r="I95" s="31">
        <v>50000</v>
      </c>
      <c r="J95" s="31"/>
      <c r="K95" s="31">
        <v>50000</v>
      </c>
      <c r="L95" s="1"/>
      <c r="M95" s="30">
        <f t="shared" si="29"/>
        <v>150000</v>
      </c>
      <c r="N95" s="4">
        <f t="shared" si="25"/>
        <v>1650000</v>
      </c>
    </row>
    <row r="96" spans="2:14" ht="15" customHeight="1" x14ac:dyDescent="0.25">
      <c r="B96" s="1"/>
      <c r="C96" s="13">
        <v>74</v>
      </c>
      <c r="D96" s="14" t="s">
        <v>15</v>
      </c>
      <c r="E96" s="1" t="s">
        <v>189</v>
      </c>
      <c r="F96" s="31">
        <v>1500000</v>
      </c>
      <c r="G96" s="35">
        <f t="shared" si="28"/>
        <v>1800000</v>
      </c>
      <c r="H96" s="31">
        <v>50000</v>
      </c>
      <c r="I96" s="31">
        <v>50000</v>
      </c>
      <c r="J96" s="31"/>
      <c r="K96" s="31">
        <v>50000</v>
      </c>
      <c r="L96" s="1"/>
      <c r="M96" s="30">
        <f t="shared" si="29"/>
        <v>150000</v>
      </c>
      <c r="N96" s="4">
        <f t="shared" si="25"/>
        <v>1650000</v>
      </c>
    </row>
    <row r="97" spans="2:17" ht="15" customHeight="1" x14ac:dyDescent="0.25">
      <c r="B97" s="1"/>
      <c r="C97" s="13">
        <v>173</v>
      </c>
      <c r="D97" s="14" t="s">
        <v>15</v>
      </c>
      <c r="E97" s="1" t="s">
        <v>191</v>
      </c>
      <c r="F97" s="31">
        <v>2500000</v>
      </c>
      <c r="G97" s="35">
        <f t="shared" si="28"/>
        <v>3000000</v>
      </c>
      <c r="H97" s="31"/>
      <c r="I97" s="31"/>
      <c r="J97" s="31">
        <v>200000</v>
      </c>
      <c r="K97" s="31">
        <v>200000</v>
      </c>
      <c r="L97" s="4"/>
      <c r="M97" s="30">
        <f t="shared" si="29"/>
        <v>400000</v>
      </c>
      <c r="N97" s="4">
        <f t="shared" si="25"/>
        <v>2600000</v>
      </c>
    </row>
    <row r="98" spans="2:17" x14ac:dyDescent="0.25">
      <c r="B98" s="24"/>
      <c r="C98" s="24"/>
      <c r="D98" s="24"/>
      <c r="E98" s="24"/>
      <c r="F98" s="20">
        <f>SUM(F74:F97)</f>
        <v>37700000</v>
      </c>
      <c r="G98" s="43">
        <f>SUM(G74:G97)</f>
        <v>41740000</v>
      </c>
      <c r="H98" s="43">
        <f>SUM(H74:H97)</f>
        <v>1250000</v>
      </c>
      <c r="I98" s="43">
        <f t="shared" ref="I98:M98" si="30">SUM(I74:I97)</f>
        <v>1475000</v>
      </c>
      <c r="J98" s="43">
        <f t="shared" si="30"/>
        <v>1475000</v>
      </c>
      <c r="K98" s="43">
        <f t="shared" si="30"/>
        <v>1375000</v>
      </c>
      <c r="L98" s="43">
        <f t="shared" si="30"/>
        <v>0</v>
      </c>
      <c r="M98" s="43">
        <f t="shared" si="30"/>
        <v>5525000</v>
      </c>
      <c r="N98" s="43">
        <f>G98-M98</f>
        <v>36215000</v>
      </c>
    </row>
    <row r="99" spans="2:17" x14ac:dyDescent="0.25">
      <c r="Q99" s="18"/>
    </row>
    <row r="100" spans="2:17" x14ac:dyDescent="0.25">
      <c r="B100" s="7"/>
      <c r="C100" s="7"/>
      <c r="D100" s="7"/>
      <c r="E100" s="9" t="s">
        <v>6</v>
      </c>
      <c r="F100" s="8">
        <f>F11+F28+F51+F70+F98</f>
        <v>109900000</v>
      </c>
      <c r="G100" s="8">
        <f t="shared" ref="G100:M100" si="31">G11+G28+G51+G70+G98</f>
        <v>110860000</v>
      </c>
      <c r="H100" s="8">
        <f t="shared" si="31"/>
        <v>6220000</v>
      </c>
      <c r="I100" s="8">
        <f t="shared" si="31"/>
        <v>6100000</v>
      </c>
      <c r="J100" s="8">
        <f t="shared" si="31"/>
        <v>7025000</v>
      </c>
      <c r="K100" s="8">
        <f t="shared" si="31"/>
        <v>8065000</v>
      </c>
      <c r="L100" s="8">
        <f t="shared" si="31"/>
        <v>0</v>
      </c>
      <c r="M100" s="8">
        <f t="shared" si="31"/>
        <v>27310000</v>
      </c>
      <c r="N100" s="8">
        <f>G100-M100</f>
        <v>83550000</v>
      </c>
      <c r="Q100" s="18"/>
    </row>
    <row r="101" spans="2:17" ht="15.75" thickBot="1" x14ac:dyDescent="0.3">
      <c r="Q101" s="18"/>
    </row>
    <row r="102" spans="2:17" x14ac:dyDescent="0.25">
      <c r="B102" s="65" t="s">
        <v>0</v>
      </c>
      <c r="C102" s="6" t="s">
        <v>1</v>
      </c>
      <c r="D102" s="6"/>
      <c r="E102" s="67" t="s">
        <v>4</v>
      </c>
      <c r="F102" s="67" t="s">
        <v>5</v>
      </c>
      <c r="G102" s="69" t="s">
        <v>6</v>
      </c>
      <c r="H102" s="6"/>
      <c r="I102" s="6"/>
      <c r="J102" s="6"/>
      <c r="K102" s="6"/>
      <c r="L102" s="6"/>
      <c r="M102" s="67" t="s">
        <v>7</v>
      </c>
      <c r="N102" s="63" t="s">
        <v>8</v>
      </c>
    </row>
    <row r="103" spans="2:17" ht="15.75" thickBot="1" x14ac:dyDescent="0.3">
      <c r="B103" s="66"/>
      <c r="C103" s="5" t="s">
        <v>2</v>
      </c>
      <c r="D103" s="5" t="s">
        <v>3</v>
      </c>
      <c r="E103" s="68"/>
      <c r="F103" s="68"/>
      <c r="G103" s="70"/>
      <c r="H103" s="5">
        <v>7</v>
      </c>
      <c r="I103" s="5">
        <v>15</v>
      </c>
      <c r="J103" s="5">
        <v>21</v>
      </c>
      <c r="K103" s="5">
        <v>28</v>
      </c>
      <c r="L103" s="5"/>
      <c r="M103" s="68"/>
      <c r="N103" s="64"/>
    </row>
    <row r="104" spans="2:17" ht="15" customHeight="1" x14ac:dyDescent="0.25">
      <c r="B104" s="26">
        <v>46149</v>
      </c>
      <c r="C104" s="13">
        <v>637</v>
      </c>
      <c r="D104" s="14" t="s">
        <v>16</v>
      </c>
      <c r="E104" s="1" t="s">
        <v>306</v>
      </c>
      <c r="F104" s="3">
        <v>1000000</v>
      </c>
      <c r="G104" s="35">
        <f>F104*120%</f>
        <v>1200000</v>
      </c>
      <c r="H104" s="34"/>
      <c r="I104" s="34">
        <v>50000</v>
      </c>
      <c r="J104" s="34"/>
      <c r="K104" s="34">
        <v>50000</v>
      </c>
      <c r="L104" s="27"/>
      <c r="M104" s="28">
        <f t="shared" ref="M104:M106" si="32">SUM(H104:L104)</f>
        <v>100000</v>
      </c>
      <c r="N104" s="28">
        <f>G104-M104</f>
        <v>1100000</v>
      </c>
    </row>
    <row r="105" spans="2:17" x14ac:dyDescent="0.25">
      <c r="B105" s="10"/>
      <c r="C105" s="13">
        <v>17</v>
      </c>
      <c r="D105" s="14" t="s">
        <v>15</v>
      </c>
      <c r="E105" s="1" t="s">
        <v>307</v>
      </c>
      <c r="F105" s="3">
        <v>1000000</v>
      </c>
      <c r="G105" s="35">
        <f t="shared" ref="G105:G122" si="33">F105*120%</f>
        <v>1200000</v>
      </c>
      <c r="H105" s="31"/>
      <c r="I105" s="31">
        <v>50000</v>
      </c>
      <c r="J105" s="31"/>
      <c r="K105" s="31">
        <v>100000</v>
      </c>
      <c r="L105" s="3"/>
      <c r="M105" s="30">
        <f t="shared" si="32"/>
        <v>150000</v>
      </c>
      <c r="N105" s="4">
        <f t="shared" ref="N105:N123" si="34">G105-M105</f>
        <v>1050000</v>
      </c>
    </row>
    <row r="106" spans="2:17" x14ac:dyDescent="0.25">
      <c r="B106" s="10"/>
      <c r="C106" s="13">
        <v>1090</v>
      </c>
      <c r="D106" s="14" t="s">
        <v>15</v>
      </c>
      <c r="E106" s="1" t="s">
        <v>308</v>
      </c>
      <c r="F106" s="3">
        <v>1000000</v>
      </c>
      <c r="G106" s="35">
        <f t="shared" si="33"/>
        <v>1200000</v>
      </c>
      <c r="H106" s="31"/>
      <c r="I106" s="31">
        <v>50000</v>
      </c>
      <c r="J106" s="31">
        <v>50000</v>
      </c>
      <c r="K106" s="31"/>
      <c r="L106" s="3"/>
      <c r="M106" s="4">
        <f t="shared" si="32"/>
        <v>100000</v>
      </c>
      <c r="N106" s="4">
        <f t="shared" si="34"/>
        <v>1100000</v>
      </c>
    </row>
    <row r="107" spans="2:17" x14ac:dyDescent="0.25">
      <c r="B107" s="10"/>
      <c r="C107" s="13">
        <v>854</v>
      </c>
      <c r="D107" s="14" t="s">
        <v>15</v>
      </c>
      <c r="E107" s="1" t="s">
        <v>309</v>
      </c>
      <c r="F107" s="3">
        <v>1000000</v>
      </c>
      <c r="G107" s="35">
        <f t="shared" si="33"/>
        <v>1200000</v>
      </c>
      <c r="H107" s="31"/>
      <c r="I107" s="31">
        <v>50000</v>
      </c>
      <c r="J107" s="31">
        <v>50000</v>
      </c>
      <c r="K107" s="31">
        <v>50000</v>
      </c>
      <c r="L107" s="3"/>
      <c r="M107" s="3">
        <f>SUM(H107:L107)</f>
        <v>150000</v>
      </c>
      <c r="N107" s="4">
        <f t="shared" si="34"/>
        <v>1050000</v>
      </c>
    </row>
    <row r="108" spans="2:17" x14ac:dyDescent="0.25">
      <c r="B108" s="10"/>
      <c r="C108" s="13">
        <v>1029</v>
      </c>
      <c r="D108" s="14" t="s">
        <v>15</v>
      </c>
      <c r="E108" s="1" t="s">
        <v>193</v>
      </c>
      <c r="F108" s="3">
        <v>2000000</v>
      </c>
      <c r="G108" s="35">
        <f t="shared" si="33"/>
        <v>2400000</v>
      </c>
      <c r="H108" s="31"/>
      <c r="I108" s="31">
        <v>100000</v>
      </c>
      <c r="J108" s="31">
        <v>100000</v>
      </c>
      <c r="K108" s="31">
        <v>100000</v>
      </c>
      <c r="L108" s="3"/>
      <c r="M108" s="4">
        <f>SUM(H108:L108)</f>
        <v>300000</v>
      </c>
      <c r="N108" s="4">
        <f t="shared" si="34"/>
        <v>2100000</v>
      </c>
    </row>
    <row r="109" spans="2:17" x14ac:dyDescent="0.25">
      <c r="B109" s="10">
        <v>46156</v>
      </c>
      <c r="C109" s="14">
        <v>507</v>
      </c>
      <c r="D109" s="14" t="s">
        <v>16</v>
      </c>
      <c r="E109" s="1" t="s">
        <v>316</v>
      </c>
      <c r="F109" s="3">
        <v>1000000</v>
      </c>
      <c r="G109" s="35">
        <f t="shared" si="33"/>
        <v>1200000</v>
      </c>
      <c r="H109" s="31"/>
      <c r="I109" s="31"/>
      <c r="J109" s="31">
        <v>50000</v>
      </c>
      <c r="K109" s="31">
        <v>50000</v>
      </c>
      <c r="L109" s="3"/>
      <c r="M109" s="30">
        <f>SUM(H109:L109)</f>
        <v>100000</v>
      </c>
      <c r="N109" s="4">
        <f t="shared" si="34"/>
        <v>1100000</v>
      </c>
    </row>
    <row r="110" spans="2:17" x14ac:dyDescent="0.25">
      <c r="B110" s="10"/>
      <c r="C110" s="14">
        <v>33</v>
      </c>
      <c r="D110" s="14" t="s">
        <v>15</v>
      </c>
      <c r="E110" s="1" t="s">
        <v>158</v>
      </c>
      <c r="F110" s="3">
        <v>1300000</v>
      </c>
      <c r="G110" s="35">
        <f t="shared" si="33"/>
        <v>1560000</v>
      </c>
      <c r="H110" s="31"/>
      <c r="I110" s="31"/>
      <c r="J110" s="31">
        <v>50000</v>
      </c>
      <c r="K110" s="31">
        <v>50000</v>
      </c>
      <c r="L110" s="3"/>
      <c r="M110" s="30">
        <f>SUM(H110:L110)</f>
        <v>100000</v>
      </c>
      <c r="N110" s="4">
        <f t="shared" si="34"/>
        <v>1460000</v>
      </c>
    </row>
    <row r="111" spans="2:17" x14ac:dyDescent="0.25">
      <c r="B111" s="10"/>
      <c r="C111" s="14">
        <v>554</v>
      </c>
      <c r="D111" s="14" t="s">
        <v>15</v>
      </c>
      <c r="E111" s="1" t="s">
        <v>317</v>
      </c>
      <c r="F111" s="3">
        <v>2000000</v>
      </c>
      <c r="G111" s="35">
        <f t="shared" si="33"/>
        <v>2400000</v>
      </c>
      <c r="H111" s="31"/>
      <c r="I111" s="31"/>
      <c r="J111" s="31">
        <v>100000</v>
      </c>
      <c r="K111" s="31"/>
      <c r="L111" s="3"/>
      <c r="M111" s="30">
        <f t="shared" ref="M111" si="35">SUM(H111:L111)</f>
        <v>100000</v>
      </c>
      <c r="N111" s="4">
        <f t="shared" si="34"/>
        <v>2300000</v>
      </c>
      <c r="Q111" s="18"/>
    </row>
    <row r="112" spans="2:17" x14ac:dyDescent="0.25">
      <c r="B112" s="10">
        <v>46163</v>
      </c>
      <c r="C112" s="14">
        <v>984</v>
      </c>
      <c r="D112" s="14" t="s">
        <v>15</v>
      </c>
      <c r="E112" s="1" t="s">
        <v>197</v>
      </c>
      <c r="F112" s="3">
        <v>1300000</v>
      </c>
      <c r="G112" s="35">
        <f t="shared" si="33"/>
        <v>1560000</v>
      </c>
      <c r="H112" s="31"/>
      <c r="I112" s="31"/>
      <c r="J112" s="31"/>
      <c r="K112" s="31">
        <v>50000</v>
      </c>
      <c r="L112" s="3"/>
      <c r="M112" s="30">
        <f>SUM(J112:L112)</f>
        <v>50000</v>
      </c>
      <c r="N112" s="4">
        <f t="shared" si="34"/>
        <v>1510000</v>
      </c>
      <c r="Q112" s="18"/>
    </row>
    <row r="113" spans="2:17" x14ac:dyDescent="0.25">
      <c r="B113" s="10"/>
      <c r="C113" s="14">
        <v>392</v>
      </c>
      <c r="D113" s="14"/>
      <c r="E113" s="1" t="s">
        <v>205</v>
      </c>
      <c r="F113" s="3">
        <v>1300000</v>
      </c>
      <c r="G113" s="35">
        <f t="shared" si="33"/>
        <v>1560000</v>
      </c>
      <c r="H113" s="31"/>
      <c r="I113" s="31"/>
      <c r="J113" s="31"/>
      <c r="K113" s="31">
        <v>50000</v>
      </c>
      <c r="L113" s="3"/>
      <c r="M113" s="30">
        <f>SUM(H113:L113)</f>
        <v>50000</v>
      </c>
      <c r="N113" s="4">
        <f t="shared" si="34"/>
        <v>1510000</v>
      </c>
      <c r="Q113" s="18"/>
    </row>
    <row r="114" spans="2:17" x14ac:dyDescent="0.25">
      <c r="B114" s="10"/>
      <c r="C114" s="14">
        <v>807</v>
      </c>
      <c r="D114" s="14" t="s">
        <v>16</v>
      </c>
      <c r="E114" s="1" t="s">
        <v>322</v>
      </c>
      <c r="F114" s="3">
        <v>1500000</v>
      </c>
      <c r="G114" s="35">
        <f t="shared" si="33"/>
        <v>1800000</v>
      </c>
      <c r="H114" s="31"/>
      <c r="I114" s="31"/>
      <c r="J114" s="31"/>
      <c r="K114" s="31">
        <v>100000</v>
      </c>
      <c r="L114" s="3"/>
      <c r="M114" s="30">
        <f>SUM(H114:L114)</f>
        <v>100000</v>
      </c>
      <c r="N114" s="4">
        <f t="shared" si="34"/>
        <v>1700000</v>
      </c>
    </row>
    <row r="115" spans="2:17" ht="15" customHeight="1" x14ac:dyDescent="0.25">
      <c r="B115" s="10"/>
      <c r="C115" s="14">
        <v>307</v>
      </c>
      <c r="D115" s="14" t="s">
        <v>15</v>
      </c>
      <c r="E115" s="1" t="s">
        <v>110</v>
      </c>
      <c r="F115" s="3">
        <v>1500000</v>
      </c>
      <c r="G115" s="35">
        <f t="shared" si="33"/>
        <v>1800000</v>
      </c>
      <c r="H115" s="31"/>
      <c r="I115" s="31"/>
      <c r="J115" s="31"/>
      <c r="K115" s="31">
        <v>50000</v>
      </c>
      <c r="L115" s="3"/>
      <c r="M115" s="30">
        <f>SUM(H115:L115)</f>
        <v>50000</v>
      </c>
      <c r="N115" s="4">
        <f t="shared" si="34"/>
        <v>1750000</v>
      </c>
    </row>
    <row r="116" spans="2:17" x14ac:dyDescent="0.25">
      <c r="B116" s="10"/>
      <c r="C116" s="13">
        <v>565</v>
      </c>
      <c r="D116" s="14" t="s">
        <v>16</v>
      </c>
      <c r="E116" s="1" t="s">
        <v>168</v>
      </c>
      <c r="F116" s="3">
        <v>1500000</v>
      </c>
      <c r="G116" s="35">
        <f t="shared" si="33"/>
        <v>1800000</v>
      </c>
      <c r="H116" s="31"/>
      <c r="I116" s="31"/>
      <c r="J116" s="31"/>
      <c r="K116" s="31">
        <v>100000</v>
      </c>
      <c r="L116" s="3"/>
      <c r="M116" s="30">
        <f>SUM(H116:L116)</f>
        <v>100000</v>
      </c>
      <c r="N116" s="4">
        <f t="shared" si="34"/>
        <v>1700000</v>
      </c>
    </row>
    <row r="117" spans="2:17" x14ac:dyDescent="0.25">
      <c r="B117" s="10">
        <v>46170</v>
      </c>
      <c r="C117" s="14">
        <v>109</v>
      </c>
      <c r="D117" s="14" t="s">
        <v>15</v>
      </c>
      <c r="E117" s="1" t="s">
        <v>136</v>
      </c>
      <c r="F117" s="3">
        <v>1000000</v>
      </c>
      <c r="G117" s="35">
        <f t="shared" si="33"/>
        <v>1200000</v>
      </c>
      <c r="H117" s="31"/>
      <c r="I117" s="31"/>
      <c r="J117" s="31"/>
      <c r="K117" s="31"/>
      <c r="L117" s="3"/>
      <c r="M117" s="30"/>
      <c r="N117" s="4">
        <f t="shared" si="34"/>
        <v>1200000</v>
      </c>
    </row>
    <row r="118" spans="2:17" x14ac:dyDescent="0.25">
      <c r="B118" s="10"/>
      <c r="C118" s="14">
        <v>135</v>
      </c>
      <c r="D118" s="14" t="s">
        <v>16</v>
      </c>
      <c r="E118" s="1" t="s">
        <v>328</v>
      </c>
      <c r="F118" s="3">
        <v>1000000</v>
      </c>
      <c r="G118" s="35">
        <f t="shared" si="33"/>
        <v>1200000</v>
      </c>
      <c r="H118" s="31"/>
      <c r="I118" s="31"/>
      <c r="J118" s="31"/>
      <c r="K118" s="31"/>
      <c r="L118" s="3"/>
      <c r="M118" s="30"/>
      <c r="N118" s="4">
        <f t="shared" si="34"/>
        <v>1200000</v>
      </c>
    </row>
    <row r="119" spans="2:17" x14ac:dyDescent="0.25">
      <c r="B119" s="10"/>
      <c r="C119" s="14">
        <v>70</v>
      </c>
      <c r="D119" s="14" t="s">
        <v>15</v>
      </c>
      <c r="E119" s="1" t="s">
        <v>152</v>
      </c>
      <c r="F119" s="3">
        <v>1000000</v>
      </c>
      <c r="G119" s="35">
        <f t="shared" si="33"/>
        <v>1200000</v>
      </c>
      <c r="H119" s="31"/>
      <c r="I119" s="31"/>
      <c r="J119" s="31"/>
      <c r="K119" s="31"/>
      <c r="L119" s="3"/>
      <c r="M119" s="30"/>
      <c r="N119" s="4">
        <f t="shared" si="34"/>
        <v>1200000</v>
      </c>
    </row>
    <row r="120" spans="2:17" x14ac:dyDescent="0.25">
      <c r="B120" s="10"/>
      <c r="C120" s="14">
        <v>286</v>
      </c>
      <c r="D120" s="14" t="s">
        <v>16</v>
      </c>
      <c r="E120" s="1" t="s">
        <v>329</v>
      </c>
      <c r="F120" s="3">
        <v>1500000</v>
      </c>
      <c r="G120" s="35">
        <f t="shared" si="33"/>
        <v>1800000</v>
      </c>
      <c r="H120" s="31"/>
      <c r="I120" s="31"/>
      <c r="J120" s="31"/>
      <c r="K120" s="31"/>
      <c r="L120" s="3"/>
      <c r="M120" s="30"/>
      <c r="N120" s="4">
        <f t="shared" si="34"/>
        <v>1800000</v>
      </c>
    </row>
    <row r="121" spans="2:17" x14ac:dyDescent="0.25">
      <c r="B121" s="10"/>
      <c r="C121" s="14">
        <v>415</v>
      </c>
      <c r="D121" s="14" t="s">
        <v>15</v>
      </c>
      <c r="E121" s="1" t="s">
        <v>206</v>
      </c>
      <c r="F121" s="3">
        <v>1800000</v>
      </c>
      <c r="G121" s="35">
        <f t="shared" si="33"/>
        <v>2160000</v>
      </c>
      <c r="H121" s="31"/>
      <c r="I121" s="31"/>
      <c r="J121" s="31"/>
      <c r="K121" s="31"/>
      <c r="L121" s="3"/>
      <c r="M121" s="30"/>
      <c r="N121" s="4">
        <f t="shared" si="34"/>
        <v>2160000</v>
      </c>
    </row>
    <row r="122" spans="2:17" x14ac:dyDescent="0.25">
      <c r="B122" s="10"/>
      <c r="C122" s="14">
        <v>378</v>
      </c>
      <c r="D122" s="14" t="s">
        <v>15</v>
      </c>
      <c r="E122" s="1" t="s">
        <v>157</v>
      </c>
      <c r="F122" s="3">
        <v>2000000</v>
      </c>
      <c r="G122" s="35">
        <f t="shared" si="33"/>
        <v>2400000</v>
      </c>
      <c r="H122" s="31"/>
      <c r="I122" s="31"/>
      <c r="J122" s="31"/>
      <c r="K122" s="31"/>
      <c r="L122" s="3"/>
      <c r="M122" s="30"/>
      <c r="N122" s="4">
        <f t="shared" si="34"/>
        <v>2400000</v>
      </c>
    </row>
    <row r="123" spans="2:17" x14ac:dyDescent="0.25">
      <c r="B123" s="21"/>
      <c r="C123" s="23"/>
      <c r="D123" s="23"/>
      <c r="E123" s="24"/>
      <c r="F123" s="19">
        <f>SUM(F104:F122)</f>
        <v>25700000</v>
      </c>
      <c r="G123" s="36">
        <f>SUM(G104:G122)</f>
        <v>30840000</v>
      </c>
      <c r="H123" s="33"/>
      <c r="I123" s="33">
        <f>SUM(I104:I122)</f>
        <v>300000</v>
      </c>
      <c r="J123" s="33">
        <f>SUM(J104:J122)</f>
        <v>400000</v>
      </c>
      <c r="K123" s="33">
        <f>SUM(K104:K122)</f>
        <v>750000</v>
      </c>
      <c r="L123" s="19"/>
      <c r="M123" s="43"/>
      <c r="N123" s="20">
        <f t="shared" si="34"/>
        <v>30840000</v>
      </c>
    </row>
    <row r="128" spans="2:17" ht="15.75" customHeight="1" x14ac:dyDescent="0.25"/>
    <row r="129" ht="15.75" customHeight="1" x14ac:dyDescent="0.25"/>
    <row r="137" ht="15.75" customHeight="1" x14ac:dyDescent="0.25"/>
    <row r="139" ht="15" customHeight="1" x14ac:dyDescent="0.25"/>
    <row r="142" ht="15.75" customHeight="1" x14ac:dyDescent="0.25"/>
  </sheetData>
  <mergeCells count="40">
    <mergeCell ref="N102:N103"/>
    <mergeCell ref="M13:M14"/>
    <mergeCell ref="B102:B103"/>
    <mergeCell ref="E102:E103"/>
    <mergeCell ref="F102:F103"/>
    <mergeCell ref="G102:G103"/>
    <mergeCell ref="M102:M103"/>
    <mergeCell ref="N30:N31"/>
    <mergeCell ref="N13:N14"/>
    <mergeCell ref="B13:B14"/>
    <mergeCell ref="E13:E14"/>
    <mergeCell ref="F13:F14"/>
    <mergeCell ref="G13:G14"/>
    <mergeCell ref="B30:B31"/>
    <mergeCell ref="E30:E31"/>
    <mergeCell ref="F30:F31"/>
    <mergeCell ref="B2:E4"/>
    <mergeCell ref="F2:H4"/>
    <mergeCell ref="I2:N2"/>
    <mergeCell ref="I3:N4"/>
    <mergeCell ref="B7:B8"/>
    <mergeCell ref="E7:E8"/>
    <mergeCell ref="F7:F8"/>
    <mergeCell ref="G7:G8"/>
    <mergeCell ref="M7:M8"/>
    <mergeCell ref="N7:N8"/>
    <mergeCell ref="G30:G31"/>
    <mergeCell ref="M30:M31"/>
    <mergeCell ref="M53:M54"/>
    <mergeCell ref="N53:N54"/>
    <mergeCell ref="B72:B73"/>
    <mergeCell ref="E72:E73"/>
    <mergeCell ref="F72:F73"/>
    <mergeCell ref="G72:G73"/>
    <mergeCell ref="M72:M73"/>
    <mergeCell ref="N72:N73"/>
    <mergeCell ref="B53:B54"/>
    <mergeCell ref="E53:E54"/>
    <mergeCell ref="F53:F54"/>
    <mergeCell ref="G53:G54"/>
  </mergeCells>
  <pageMargins left="0.7" right="0.7" top="0.75" bottom="0.75" header="0.3" footer="0.3"/>
  <pageSetup paperSize="9" orientation="portrait" horizontalDpi="4294967292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RESORT 01</vt:lpstr>
      <vt:lpstr>RESORT 02</vt:lpstr>
      <vt:lpstr>RESORT 03</vt:lpstr>
      <vt:lpstr>RESORT 04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BANZER</cp:lastModifiedBy>
  <cp:lastPrinted>2025-10-02T06:29:05Z</cp:lastPrinted>
  <dcterms:created xsi:type="dcterms:W3CDTF">2017-12-12T01:16:43Z</dcterms:created>
  <dcterms:modified xsi:type="dcterms:W3CDTF">2026-05-29T00:40:39Z</dcterms:modified>
</cp:coreProperties>
</file>